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deos\Introduction to DA #!\Excel\Data\"/>
    </mc:Choice>
  </mc:AlternateContent>
  <xr:revisionPtr revIDLastSave="0" documentId="13_ncr:1_{A87063DB-D53F-4E49-AE54-7CDECABB0B0F}" xr6:coauthVersionLast="47" xr6:coauthVersionMax="47" xr10:uidLastSave="{00000000-0000-0000-0000-000000000000}"/>
  <bookViews>
    <workbookView xWindow="-108" yWindow="-108" windowWidth="23256" windowHeight="12456" tabRatio="898" activeTab="7" xr2:uid="{D3AD9251-49AE-46DD-AF9E-F9496E6A5906}"/>
  </bookViews>
  <sheets>
    <sheet name="Index" sheetId="1" r:id="rId1"/>
    <sheet name="Queries" sheetId="9" r:id="rId2"/>
    <sheet name="Emp" sheetId="11" r:id="rId3"/>
    <sheet name="Data" sheetId="8" r:id="rId4"/>
    <sheet name="Report" sheetId="15" r:id="rId5"/>
    <sheet name="LookUp" sheetId="16" r:id="rId6"/>
    <sheet name="Sales Table" sheetId="17" r:id="rId7"/>
    <sheet name="SalesQueries" sheetId="20" r:id="rId8"/>
  </sheets>
  <definedNames>
    <definedName name="ExternalData_1" localSheetId="2" hidden="1">Emp!$A$1:$K$261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6" l="1" a="1"/>
  <c r="G16" i="16" s="1"/>
  <c r="G15" i="16" a="1"/>
  <c r="G15" i="16" s="1"/>
  <c r="A10" i="16" a="1"/>
  <c r="A10" i="16" s="1"/>
  <c r="B16" i="16" a="1"/>
  <c r="B16" i="16" s="1"/>
  <c r="B15" i="16" a="1"/>
  <c r="B15" i="16" s="1"/>
  <c r="F3" i="16"/>
  <c r="D3" i="16"/>
  <c r="E3" i="16" s="1" a="1"/>
  <c r="E3" i="16" s="1"/>
  <c r="C3" i="16"/>
  <c r="B6" i="15" a="1"/>
  <c r="B6" i="15" s="1"/>
  <c r="F6" i="15" s="1"/>
  <c r="F262" i="11"/>
  <c r="G6" i="15" l="1" a="1"/>
  <c r="G6" i="15" s="1"/>
  <c r="H6" i="15"/>
  <c r="C12" i="15"/>
  <c r="D13" i="15"/>
  <c r="F13" i="15"/>
  <c r="G12" i="15" a="1"/>
  <c r="G12" i="15" s="1"/>
  <c r="H12" i="15"/>
  <c r="D12" i="15"/>
  <c r="I12" i="15" s="1"/>
  <c r="C10" i="15"/>
  <c r="H11" i="15"/>
  <c r="G8" i="15" a="1"/>
  <c r="G8" i="15" s="1"/>
  <c r="C6" i="15"/>
  <c r="G13" i="15" a="1"/>
  <c r="G13" i="15" s="1"/>
  <c r="H13" i="15"/>
  <c r="C11" i="15"/>
  <c r="F12" i="15"/>
  <c r="D11" i="15"/>
  <c r="F11" i="15"/>
  <c r="C9" i="15"/>
  <c r="F10" i="15"/>
  <c r="G10" i="15" a="1"/>
  <c r="G10" i="15" s="1"/>
  <c r="H10" i="15"/>
  <c r="C7" i="15"/>
  <c r="F8" i="15"/>
  <c r="H8" i="15"/>
  <c r="C13" i="15"/>
  <c r="D6" i="15"/>
  <c r="G11" i="15" a="1"/>
  <c r="G11" i="15" s="1"/>
  <c r="D10" i="15"/>
  <c r="E10" i="15" s="1"/>
  <c r="C8" i="15"/>
  <c r="D9" i="15"/>
  <c r="F9" i="15"/>
  <c r="G9" i="15" a="1"/>
  <c r="G9" i="15" s="1"/>
  <c r="H9" i="15"/>
  <c r="D8" i="15"/>
  <c r="D7" i="15"/>
  <c r="E7" i="15" s="1"/>
  <c r="F7" i="15"/>
  <c r="G7" i="15" a="1"/>
  <c r="G7" i="15" s="1"/>
  <c r="H7" i="15"/>
  <c r="E6" i="15"/>
  <c r="E13" i="15"/>
  <c r="E11" i="15"/>
  <c r="I10" i="15" l="1"/>
  <c r="E12" i="15"/>
  <c r="I13" i="15"/>
  <c r="I11" i="15"/>
  <c r="I7" i="15"/>
  <c r="E8" i="15"/>
  <c r="I8" i="15"/>
  <c r="E9" i="15"/>
  <c r="I9" i="15"/>
  <c r="C14" i="15"/>
  <c r="I6" i="15"/>
  <c r="K262" i="1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8F8D2D-DC1C-459A-9CE9-53C22575BA84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<sst xmlns="http://schemas.openxmlformats.org/spreadsheetml/2006/main" count="8289" uniqueCount="1621">
  <si>
    <t xml:space="preserve">EXCEL FOR DATA ANALYSIS </t>
  </si>
  <si>
    <t>Section 1</t>
  </si>
  <si>
    <t>Introduction to Excel Interface</t>
  </si>
  <si>
    <t>Table : Trim, Sorting and Filtering</t>
  </si>
  <si>
    <t>Data Vaidation and Goal Seek</t>
  </si>
  <si>
    <t>Macros</t>
  </si>
  <si>
    <t xml:space="preserve">Conditional Formatting </t>
  </si>
  <si>
    <t>Removing Duplicate Data</t>
  </si>
  <si>
    <t>Name</t>
  </si>
  <si>
    <t>Emp ID</t>
  </si>
  <si>
    <t>Gender</t>
  </si>
  <si>
    <t>Department</t>
  </si>
  <si>
    <t>Salary</t>
  </si>
  <si>
    <t>Start Date</t>
  </si>
  <si>
    <t>FTE</t>
  </si>
  <si>
    <t>Employee type</t>
  </si>
  <si>
    <t>Work location</t>
  </si>
  <si>
    <t>Mobile Number</t>
  </si>
  <si>
    <t>XW68029</t>
  </si>
  <si>
    <t>Michael Davis</t>
  </si>
  <si>
    <t>Female</t>
  </si>
  <si>
    <t>Operations</t>
  </si>
  <si>
    <t>12-Nov-18</t>
  </si>
  <si>
    <t>Permanent</t>
  </si>
  <si>
    <t>Dubai, UAE</t>
  </si>
  <si>
    <t>816.847.4201</t>
  </si>
  <si>
    <t>LK95323</t>
  </si>
  <si>
    <t>David Edwards</t>
  </si>
  <si>
    <t>Male</t>
  </si>
  <si>
    <t>IT</t>
  </si>
  <si>
    <t>Sydney, Australia</t>
  </si>
  <si>
    <t>995.618.0161</t>
  </si>
  <si>
    <t>LE46327</t>
  </si>
  <si>
    <t>Laura Lawrence</t>
  </si>
  <si>
    <t>Marketing</t>
  </si>
  <si>
    <t>Tokyo, Japan</t>
  </si>
  <si>
    <t>570.420.2367</t>
  </si>
  <si>
    <t>RN56442</t>
  </si>
  <si>
    <t>Andrew Hardin</t>
  </si>
  <si>
    <t>Sales</t>
  </si>
  <si>
    <t>Mar 5, 2018</t>
  </si>
  <si>
    <t>Fixed Term</t>
  </si>
  <si>
    <t>+1-599-129-8373</t>
  </si>
  <si>
    <t>QQ53474</t>
  </si>
  <si>
    <t>Monique Diaz</t>
  </si>
  <si>
    <t>HR</t>
  </si>
  <si>
    <t>2-Apr-18</t>
  </si>
  <si>
    <t>Delhi, India</t>
  </si>
  <si>
    <t>610.453.2915x2013</t>
  </si>
  <si>
    <t>WL99915</t>
  </si>
  <si>
    <t>Dawn Howell</t>
  </si>
  <si>
    <t>Oct 16, 2020</t>
  </si>
  <si>
    <t>956.154.2970</t>
  </si>
  <si>
    <t>OQ02176</t>
  </si>
  <si>
    <t>Veronica Bell</t>
  </si>
  <si>
    <t>New York, USA</t>
  </si>
  <si>
    <t>273-874-8920</t>
  </si>
  <si>
    <t>GO15901</t>
  </si>
  <si>
    <t>Jennifer Whitaker</t>
  </si>
  <si>
    <t>522.348.5582</t>
  </si>
  <si>
    <t>XG85466</t>
  </si>
  <si>
    <t>Elizabeth Martin</t>
  </si>
  <si>
    <t>041-835-5373x088</t>
  </si>
  <si>
    <t>KU43954</t>
  </si>
  <si>
    <t>Robert Powers</t>
  </si>
  <si>
    <t>001-761-379-7521</t>
  </si>
  <si>
    <t>PA66331</t>
  </si>
  <si>
    <t>Tiffany White</t>
  </si>
  <si>
    <t>Customer Support</t>
  </si>
  <si>
    <t>Oct 18, 2021</t>
  </si>
  <si>
    <t>(689)259-3312x05590</t>
  </si>
  <si>
    <t>VL09949</t>
  </si>
  <si>
    <t>Alex Jones</t>
  </si>
  <si>
    <t>27-Jan-20</t>
  </si>
  <si>
    <t>London, UK</t>
  </si>
  <si>
    <t>5124016835</t>
  </si>
  <si>
    <t>SB06299</t>
  </si>
  <si>
    <t>Troy Swanson</t>
  </si>
  <si>
    <t>R&amp;D</t>
  </si>
  <si>
    <t>19-Apr-21</t>
  </si>
  <si>
    <t>(598)445-9100x4931</t>
  </si>
  <si>
    <t>XO85866</t>
  </si>
  <si>
    <t>Diane Wilson</t>
  </si>
  <si>
    <t>Finance</t>
  </si>
  <si>
    <t>12-Mar-18</t>
  </si>
  <si>
    <t>Temporary</t>
  </si>
  <si>
    <t>927.499.9416x4491</t>
  </si>
  <si>
    <t>DU89321</t>
  </si>
  <si>
    <t>Tammy Castaneda</t>
  </si>
  <si>
    <t>25-Oct-19</t>
  </si>
  <si>
    <t>001-337-748-3545x048</t>
  </si>
  <si>
    <t>JR86717</t>
  </si>
  <si>
    <t>Benjamin Johnson</t>
  </si>
  <si>
    <t>Dec 24, 2019</t>
  </si>
  <si>
    <t>068.201.8632x06883</t>
  </si>
  <si>
    <t>NJ94299</t>
  </si>
  <si>
    <t>Paul Clark</t>
  </si>
  <si>
    <t>10-Dec-18</t>
  </si>
  <si>
    <t>+1-523-072-2087x0237</t>
  </si>
  <si>
    <t>UC33862</t>
  </si>
  <si>
    <t>Stephanie Baxter</t>
  </si>
  <si>
    <t>999.554.9734</t>
  </si>
  <si>
    <t>NT91504</t>
  </si>
  <si>
    <t>Tammy Harrison</t>
  </si>
  <si>
    <t>569-862-2594x3605</t>
  </si>
  <si>
    <t>BV55499</t>
  </si>
  <si>
    <t>David Moss</t>
  </si>
  <si>
    <t>Berlin, Germany</t>
  </si>
  <si>
    <t>(125)496-5407x20213</t>
  </si>
  <si>
    <t>LR64833</t>
  </si>
  <si>
    <t>Stephanie Garcia</t>
  </si>
  <si>
    <t>024.625.4622</t>
  </si>
  <si>
    <t>FB32796</t>
  </si>
  <si>
    <t>Megan Patton</t>
  </si>
  <si>
    <t>26-Aug-21</t>
  </si>
  <si>
    <t>Toronto, Canada</t>
  </si>
  <si>
    <t>(382)627-6669x817</t>
  </si>
  <si>
    <t>GM34017</t>
  </si>
  <si>
    <t>Sue Arnold</t>
  </si>
  <si>
    <t>423.901.3064x8235</t>
  </si>
  <si>
    <t>WB03411</t>
  </si>
  <si>
    <t>Chelsea Barrett</t>
  </si>
  <si>
    <t>22-Feb-21</t>
  </si>
  <si>
    <t>472-078-6959x9182</t>
  </si>
  <si>
    <t>MT99677</t>
  </si>
  <si>
    <t>Stephanie Fitzgerald</t>
  </si>
  <si>
    <t>633.253.6521x76983</t>
  </si>
  <si>
    <t>AE32607</t>
  </si>
  <si>
    <t>Alexis Webb</t>
  </si>
  <si>
    <t>+1-638-076-7975x24762</t>
  </si>
  <si>
    <t>ZN82199</t>
  </si>
  <si>
    <t>Samuel Bautista</t>
  </si>
  <si>
    <t>+1-068-607-0062</t>
  </si>
  <si>
    <t>QI20990</t>
  </si>
  <si>
    <t>David Taylor</t>
  </si>
  <si>
    <t>661-506-4188</t>
  </si>
  <si>
    <t>ZR99436</t>
  </si>
  <si>
    <t>Crystal Torres</t>
  </si>
  <si>
    <t>18-Apr-19</t>
  </si>
  <si>
    <t>+1-014-251-3180</t>
  </si>
  <si>
    <t>VC04606</t>
  </si>
  <si>
    <t>William Larson</t>
  </si>
  <si>
    <t>(249)393-6520x6093</t>
  </si>
  <si>
    <t>IF05899</t>
  </si>
  <si>
    <t>Derek Anderson</t>
  </si>
  <si>
    <t>27-Dec-19</t>
  </si>
  <si>
    <t>358.628.7693</t>
  </si>
  <si>
    <t>AF68524</t>
  </si>
  <si>
    <t>Michael Moreno</t>
  </si>
  <si>
    <t>+1-897-779-6202x662</t>
  </si>
  <si>
    <t>VY40784</t>
  </si>
  <si>
    <t>Holly Lee</t>
  </si>
  <si>
    <t>690.739.4644x3973</t>
  </si>
  <si>
    <t>EM61484</t>
  </si>
  <si>
    <t>Angela Yoder DDS</t>
  </si>
  <si>
    <t>Aug 12, 2020</t>
  </si>
  <si>
    <t>(518)538-0250x80138</t>
  </si>
  <si>
    <t>CL14522</t>
  </si>
  <si>
    <t>Richard Chan</t>
  </si>
  <si>
    <t>14-Nov-18</t>
  </si>
  <si>
    <t>001-045-065-1755x610</t>
  </si>
  <si>
    <t>HH09005</t>
  </si>
  <si>
    <t>Kelly Cohen</t>
  </si>
  <si>
    <t>001-223-915-9373x8259</t>
  </si>
  <si>
    <t>QD19386</t>
  </si>
  <si>
    <t>Scott Ramos</t>
  </si>
  <si>
    <t>8604009418</t>
  </si>
  <si>
    <t>QK84068</t>
  </si>
  <si>
    <t>Suzanne Ali</t>
  </si>
  <si>
    <t>Nov 30, 2018</t>
  </si>
  <si>
    <t>001-634-043-5907x19985</t>
  </si>
  <si>
    <t>JF96988</t>
  </si>
  <si>
    <t>Adrian Estrada</t>
  </si>
  <si>
    <t>4365766578</t>
  </si>
  <si>
    <t>OB90878</t>
  </si>
  <si>
    <t>Cindy Robinson</t>
  </si>
  <si>
    <t>603.827.5242</t>
  </si>
  <si>
    <t>RJ91358</t>
  </si>
  <si>
    <t>Stephen Thompson</t>
  </si>
  <si>
    <t>27-Jul-20</t>
  </si>
  <si>
    <t>042-795-8372</t>
  </si>
  <si>
    <t>XF16041</t>
  </si>
  <si>
    <t>Christopher Porter</t>
  </si>
  <si>
    <t>30-Sep-20</t>
  </si>
  <si>
    <t>970-325-3576</t>
  </si>
  <si>
    <t>BC42376</t>
  </si>
  <si>
    <t>Valerie Nguyen</t>
  </si>
  <si>
    <t>19-Jul-19</t>
  </si>
  <si>
    <t>+1-412-570-4356x8401</t>
  </si>
  <si>
    <t>HR20987</t>
  </si>
  <si>
    <t>Aaron Bowers</t>
  </si>
  <si>
    <t>10-Aug-20</t>
  </si>
  <si>
    <t>+1-039-295-4398x2963</t>
  </si>
  <si>
    <t>IA57652</t>
  </si>
  <si>
    <t>Richard Anderson</t>
  </si>
  <si>
    <t>7994182613</t>
  </si>
  <si>
    <t>YN04521</t>
  </si>
  <si>
    <t>Barbara Anderson</t>
  </si>
  <si>
    <t>9-Sep-19</t>
  </si>
  <si>
    <t>189-587-2414x2351</t>
  </si>
  <si>
    <t>BX26185</t>
  </si>
  <si>
    <t>Laura Williamson</t>
  </si>
  <si>
    <t>24-Nov-20</t>
  </si>
  <si>
    <t>509-502-6803</t>
  </si>
  <si>
    <t>DY84590</t>
  </si>
  <si>
    <t>Brandi Soto</t>
  </si>
  <si>
    <t>036-467-5337x189</t>
  </si>
  <si>
    <t>HM89717</t>
  </si>
  <si>
    <t>Ronald Martin</t>
  </si>
  <si>
    <t>Nov 2, 2018</t>
  </si>
  <si>
    <t>781-662-9076</t>
  </si>
  <si>
    <t>HY35701</t>
  </si>
  <si>
    <t>Brandon Miller</t>
  </si>
  <si>
    <t>+1-869-002-0402x785</t>
  </si>
  <si>
    <t>EU08939</t>
  </si>
  <si>
    <t>Nicholas Sellers</t>
  </si>
  <si>
    <t>(646)959-7194</t>
  </si>
  <si>
    <t>SC51098</t>
  </si>
  <si>
    <t>Brandy Galvan</t>
  </si>
  <si>
    <t>29-Apr-21</t>
  </si>
  <si>
    <t>933-759-4347x3307</t>
  </si>
  <si>
    <t>GM61969</t>
  </si>
  <si>
    <t>Regina Price</t>
  </si>
  <si>
    <t>120.349.9222x651</t>
  </si>
  <si>
    <t>KQ50247</t>
  </si>
  <si>
    <t>Cheryl Mccarty</t>
  </si>
  <si>
    <t>015.446.8218x157</t>
  </si>
  <si>
    <t>MS87230</t>
  </si>
  <si>
    <t>Glenn White</t>
  </si>
  <si>
    <t>059-690-0495x55137</t>
  </si>
  <si>
    <t>ZJ70604</t>
  </si>
  <si>
    <t>Mark Hancock</t>
  </si>
  <si>
    <t>(338)694-9638</t>
  </si>
  <si>
    <t>SR02965</t>
  </si>
  <si>
    <t>Brandi Gregory</t>
  </si>
  <si>
    <t>001-416-554-0127x094</t>
  </si>
  <si>
    <t>KL23662</t>
  </si>
  <si>
    <t>Jennifer Cook</t>
  </si>
  <si>
    <t>152-401-7150</t>
  </si>
  <si>
    <t>DT06793</t>
  </si>
  <si>
    <t>Bobby Miller</t>
  </si>
  <si>
    <t>May 11, 2020</t>
  </si>
  <si>
    <t>2824489044</t>
  </si>
  <si>
    <t>OH88526</t>
  </si>
  <si>
    <t>Taylor Dodson</t>
  </si>
  <si>
    <t>Jan 25, 2021</t>
  </si>
  <si>
    <t>+1-963-421-8082x100</t>
  </si>
  <si>
    <t>IG36896</t>
  </si>
  <si>
    <t>Paula Thomas</t>
  </si>
  <si>
    <t>16-Sep-19</t>
  </si>
  <si>
    <t>284.002.8736</t>
  </si>
  <si>
    <t>VP99312</t>
  </si>
  <si>
    <t>Jennifer Gibson</t>
  </si>
  <si>
    <t>26-Jun-19</t>
  </si>
  <si>
    <t>841-475-1087x955</t>
  </si>
  <si>
    <t>CT35780</t>
  </si>
  <si>
    <t>Alyssa Porter</t>
  </si>
  <si>
    <t>27-May-19</t>
  </si>
  <si>
    <t>(440)410-2474x40325</t>
  </si>
  <si>
    <t>QV55564</t>
  </si>
  <si>
    <t>Jennifer Powell</t>
  </si>
  <si>
    <t>+1-576-526-5268</t>
  </si>
  <si>
    <t>EG75701</t>
  </si>
  <si>
    <t>Catherine Whitehead</t>
  </si>
  <si>
    <t>001-500-776-0440x022</t>
  </si>
  <si>
    <t>UE37619</t>
  </si>
  <si>
    <t>Samuel Harrison</t>
  </si>
  <si>
    <t>10-Apr-20</t>
  </si>
  <si>
    <t>+1-987-562-0425x609</t>
  </si>
  <si>
    <t>HY12190</t>
  </si>
  <si>
    <t>Jennifer Martin</t>
  </si>
  <si>
    <t>001-280-984-1334x6470</t>
  </si>
  <si>
    <t>SB91744</t>
  </si>
  <si>
    <t>Leslie Weiss</t>
  </si>
  <si>
    <t>229-827-9723x8458</t>
  </si>
  <si>
    <t>RB34311</t>
  </si>
  <si>
    <t>Megan Rodriguez</t>
  </si>
  <si>
    <t>8-Jan-19</t>
  </si>
  <si>
    <t>001-887-100-6458x22481</t>
  </si>
  <si>
    <t>ZK62669</t>
  </si>
  <si>
    <t>Margaret Vasquez</t>
  </si>
  <si>
    <t>18-Feb-19</t>
  </si>
  <si>
    <t>702-916-6268</t>
  </si>
  <si>
    <t>ZL82299</t>
  </si>
  <si>
    <t>Robert Torres</t>
  </si>
  <si>
    <t>15-Mar-21</t>
  </si>
  <si>
    <t>982.117.5345x2617</t>
  </si>
  <si>
    <t>EF15424</t>
  </si>
  <si>
    <t>Kristin Carpenter</t>
  </si>
  <si>
    <t>5-Feb-18</t>
  </si>
  <si>
    <t>(096)992-9371</t>
  </si>
  <si>
    <t>SP53579</t>
  </si>
  <si>
    <t>Jason Brown</t>
  </si>
  <si>
    <t>10-Feb-21</t>
  </si>
  <si>
    <t>001-972-098-5332x64883</t>
  </si>
  <si>
    <t>VI44505</t>
  </si>
  <si>
    <t>Thomas Smith</t>
  </si>
  <si>
    <t>001-165-269-3839x5162</t>
  </si>
  <si>
    <t>KF51776</t>
  </si>
  <si>
    <t>Eric Parker</t>
  </si>
  <si>
    <t>707-396-8962x868</t>
  </si>
  <si>
    <t>KA65009</t>
  </si>
  <si>
    <t>Autumn Parker</t>
  </si>
  <si>
    <t>5042251634</t>
  </si>
  <si>
    <t>DU94029</t>
  </si>
  <si>
    <t>Kayla Wilson</t>
  </si>
  <si>
    <t>30-Apr-20</t>
  </si>
  <si>
    <t>7147883980</t>
  </si>
  <si>
    <t>MB90500</t>
  </si>
  <si>
    <t>Rose Moore</t>
  </si>
  <si>
    <t>521-183-4542x7027</t>
  </si>
  <si>
    <t>WG24339</t>
  </si>
  <si>
    <t>Brian Burton</t>
  </si>
  <si>
    <t>001-092-141-6113</t>
  </si>
  <si>
    <t>AP35250</t>
  </si>
  <si>
    <t>Mario Kelly</t>
  </si>
  <si>
    <t>30-Mar-21</t>
  </si>
  <si>
    <t>+1-656-620-9516x5024</t>
  </si>
  <si>
    <t>DM01675</t>
  </si>
  <si>
    <t>Jacob Oconnor</t>
  </si>
  <si>
    <t>1-Feb-21</t>
  </si>
  <si>
    <t>892.346.8015x134</t>
  </si>
  <si>
    <t>QZ34845</t>
  </si>
  <si>
    <t>Vanessa Duncan</t>
  </si>
  <si>
    <t>4-Oct-21</t>
  </si>
  <si>
    <t>1737111584</t>
  </si>
  <si>
    <t>TR93334</t>
  </si>
  <si>
    <t>Thomas Porter</t>
  </si>
  <si>
    <t>21-Oct-19</t>
  </si>
  <si>
    <t>748-077-8220x4913</t>
  </si>
  <si>
    <t>LN43296</t>
  </si>
  <si>
    <t>Clayton Mitchell</t>
  </si>
  <si>
    <t>13-Aug-18</t>
  </si>
  <si>
    <t>883.228.9515x945</t>
  </si>
  <si>
    <t>GQ68910</t>
  </si>
  <si>
    <t>William Olsen</t>
  </si>
  <si>
    <t>18-Nov-19</t>
  </si>
  <si>
    <t>873-175-6156x32876</t>
  </si>
  <si>
    <t>JI41353</t>
  </si>
  <si>
    <t>Karen Palmer</t>
  </si>
  <si>
    <t>Nov 25, 2019</t>
  </si>
  <si>
    <t>(345)758-0189</t>
  </si>
  <si>
    <t>XK56170</t>
  </si>
  <si>
    <t>Russell Wood</t>
  </si>
  <si>
    <t>26-Feb-20</t>
  </si>
  <si>
    <t>957-790-0887x1579</t>
  </si>
  <si>
    <t>PN56489</t>
  </si>
  <si>
    <t>Andrea Gonzalez</t>
  </si>
  <si>
    <t>+1-367-096-0813x385</t>
  </si>
  <si>
    <t>RC13763</t>
  </si>
  <si>
    <t>Joseph Collier</t>
  </si>
  <si>
    <t>917-099-6322</t>
  </si>
  <si>
    <t>KO04995</t>
  </si>
  <si>
    <t>Frank Ford</t>
  </si>
  <si>
    <t>976.257.2418</t>
  </si>
  <si>
    <t>FT41383</t>
  </si>
  <si>
    <t>Sally Keller</t>
  </si>
  <si>
    <t>001-250-728-0274x97550</t>
  </si>
  <si>
    <t>XD50975</t>
  </si>
  <si>
    <t>Alison Flores</t>
  </si>
  <si>
    <t>007.995.0552x95212</t>
  </si>
  <si>
    <t>ET89987</t>
  </si>
  <si>
    <t>Amy Green</t>
  </si>
  <si>
    <t>4-Feb-19</t>
  </si>
  <si>
    <t>266.893.3117x8604</t>
  </si>
  <si>
    <t>LD97666</t>
  </si>
  <si>
    <t>William Dixon</t>
  </si>
  <si>
    <t>22-May-20</t>
  </si>
  <si>
    <t>(060)638-6726</t>
  </si>
  <si>
    <t>QP31564</t>
  </si>
  <si>
    <t>Melissa Conway</t>
  </si>
  <si>
    <t>13-Jan-20</t>
  </si>
  <si>
    <t>3296144260</t>
  </si>
  <si>
    <t>KM59153</t>
  </si>
  <si>
    <t>Christopher Clark</t>
  </si>
  <si>
    <t>Jul 5, 2021</t>
  </si>
  <si>
    <t>1292663641</t>
  </si>
  <si>
    <t>NB36515</t>
  </si>
  <si>
    <t>Elizabeth Branch</t>
  </si>
  <si>
    <t>Oct 1, 2018</t>
  </si>
  <si>
    <t>(362)397-7028</t>
  </si>
  <si>
    <t>VZ92391</t>
  </si>
  <si>
    <t>Deborah Navarro</t>
  </si>
  <si>
    <t>112-967-9606</t>
  </si>
  <si>
    <t>LX74841</t>
  </si>
  <si>
    <t>Christopher Morton</t>
  </si>
  <si>
    <t>28-Dec-20</t>
  </si>
  <si>
    <t>0981087683</t>
  </si>
  <si>
    <t>FX06895</t>
  </si>
  <si>
    <t>Eric Patterson</t>
  </si>
  <si>
    <t>28-Jan-19</t>
  </si>
  <si>
    <t>628.901.3278x5324</t>
  </si>
  <si>
    <t>TF29171</t>
  </si>
  <si>
    <t>Joshua Johnson</t>
  </si>
  <si>
    <t>824.861.9888x395</t>
  </si>
  <si>
    <t>ZE83371</t>
  </si>
  <si>
    <t>Cassandra Flores</t>
  </si>
  <si>
    <t>001-025-513-6922x2004</t>
  </si>
  <si>
    <t>MW49227</t>
  </si>
  <si>
    <t>Melissa Knight</t>
  </si>
  <si>
    <t>26-Jun-18</t>
  </si>
  <si>
    <t>0316588229</t>
  </si>
  <si>
    <t>KS31570</t>
  </si>
  <si>
    <t>Terry Hayes</t>
  </si>
  <si>
    <t>069-394-6572x7659</t>
  </si>
  <si>
    <t>UX91071</t>
  </si>
  <si>
    <t>Suzanne Hunt</t>
  </si>
  <si>
    <t>(731)133-4345x14961</t>
  </si>
  <si>
    <t>YS71389</t>
  </si>
  <si>
    <t>Emily Ward</t>
  </si>
  <si>
    <t>7-Dec-20</t>
  </si>
  <si>
    <t>512-083-9667x455</t>
  </si>
  <si>
    <t>RE99324</t>
  </si>
  <si>
    <t>Ethan Hall</t>
  </si>
  <si>
    <t>Jan 29, 2019</t>
  </si>
  <si>
    <t>015-139-1208x63398</t>
  </si>
  <si>
    <t>FZ86967</t>
  </si>
  <si>
    <t>Patrick Douglas</t>
  </si>
  <si>
    <t>(212)362-0762</t>
  </si>
  <si>
    <t>IG41240</t>
  </si>
  <si>
    <t>Scott Douglas</t>
  </si>
  <si>
    <t>26-Mar-19</t>
  </si>
  <si>
    <t>496.474.9978x0027</t>
  </si>
  <si>
    <t>TR80472</t>
  </si>
  <si>
    <t>Barbara Walton</t>
  </si>
  <si>
    <t>915.711.7947x249</t>
  </si>
  <si>
    <t>AC44183</t>
  </si>
  <si>
    <t>Calvin Gray</t>
  </si>
  <si>
    <t>459-891-4605</t>
  </si>
  <si>
    <t>YH87343</t>
  </si>
  <si>
    <t>Michelle Davis</t>
  </si>
  <si>
    <t>839.947.7997x658</t>
  </si>
  <si>
    <t>HO92617</t>
  </si>
  <si>
    <t>Kayla Robinson</t>
  </si>
  <si>
    <t>001-359-783-6801x88424</t>
  </si>
  <si>
    <t>TM70457</t>
  </si>
  <si>
    <t>Amber King</t>
  </si>
  <si>
    <t>181.704.1846</t>
  </si>
  <si>
    <t>BE78276</t>
  </si>
  <si>
    <t>Amy White</t>
  </si>
  <si>
    <t>400-123-1894x530</t>
  </si>
  <si>
    <t>LD58782</t>
  </si>
  <si>
    <t>Dr. Carl Stone</t>
  </si>
  <si>
    <t>Sep 23, 2021</t>
  </si>
  <si>
    <t>+1-537-089-9368x4270</t>
  </si>
  <si>
    <t>GO94209</t>
  </si>
  <si>
    <t>Brent Reyes</t>
  </si>
  <si>
    <t>001-844-978-9343x3644</t>
  </si>
  <si>
    <t>MW04670</t>
  </si>
  <si>
    <t>Lindsey Miles</t>
  </si>
  <si>
    <t>001-230-939-2734x9314</t>
  </si>
  <si>
    <t>EL84214</t>
  </si>
  <si>
    <t>Leah Clements</t>
  </si>
  <si>
    <t>23-Apr-18</t>
  </si>
  <si>
    <t>001-026-561-9509x567</t>
  </si>
  <si>
    <t>LR11678</t>
  </si>
  <si>
    <t>Joseph Bryant</t>
  </si>
  <si>
    <t>29-Oct-18</t>
  </si>
  <si>
    <t>825-502-3865</t>
  </si>
  <si>
    <t>RL54352</t>
  </si>
  <si>
    <t>Jonathan Baxter</t>
  </si>
  <si>
    <t>354.325.3340x04784</t>
  </si>
  <si>
    <t>SU48036</t>
  </si>
  <si>
    <t>Angela Dudley</t>
  </si>
  <si>
    <t>4730144245</t>
  </si>
  <si>
    <t>XW74612</t>
  </si>
  <si>
    <t>Nicholas Clark</t>
  </si>
  <si>
    <t>31-Dec-18</t>
  </si>
  <si>
    <t>308.100.1845x58921</t>
  </si>
  <si>
    <t>IK48643</t>
  </si>
  <si>
    <t>Kevin Mclaughlin</t>
  </si>
  <si>
    <t>+1-210-345-9421x5993</t>
  </si>
  <si>
    <t>JN15516</t>
  </si>
  <si>
    <t>Jim Moody</t>
  </si>
  <si>
    <t>(264)361-8900x850</t>
  </si>
  <si>
    <t>ZN19947</t>
  </si>
  <si>
    <t>Haley Molina</t>
  </si>
  <si>
    <t>666.620.5497</t>
  </si>
  <si>
    <t>LR88431</t>
  </si>
  <si>
    <t>Melissa Fischer</t>
  </si>
  <si>
    <t>(257)702-5509x3137</t>
  </si>
  <si>
    <t>WI98869</t>
  </si>
  <si>
    <t>Brooke Hester</t>
  </si>
  <si>
    <t>Apr 29, 2020</t>
  </si>
  <si>
    <t>+1-361-396-0801</t>
  </si>
  <si>
    <t>EV12561</t>
  </si>
  <si>
    <t>Kristen Griffin</t>
  </si>
  <si>
    <t>(847)364-0486x282</t>
  </si>
  <si>
    <t>IW63910</t>
  </si>
  <si>
    <t>Joseph Hernandez</t>
  </si>
  <si>
    <t>958.489.6069</t>
  </si>
  <si>
    <t>TQ68984</t>
  </si>
  <si>
    <t>Anita Meyer</t>
  </si>
  <si>
    <t>19-Jul-21</t>
  </si>
  <si>
    <t>001-871-353-1005</t>
  </si>
  <si>
    <t>PP93993</t>
  </si>
  <si>
    <t>Laura Green</t>
  </si>
  <si>
    <t>(607)892-4376x41272</t>
  </si>
  <si>
    <t>IO91237</t>
  </si>
  <si>
    <t>Louis Howell</t>
  </si>
  <si>
    <t>+1-012-296-9022x903</t>
  </si>
  <si>
    <t>LL39072</t>
  </si>
  <si>
    <t>Cynthia Weaver</t>
  </si>
  <si>
    <t>May 5, 2020</t>
  </si>
  <si>
    <t>001-900-866-8305</t>
  </si>
  <si>
    <t>CM58592</t>
  </si>
  <si>
    <t>Chad Montoya</t>
  </si>
  <si>
    <t>001-509-942-5141</t>
  </si>
  <si>
    <t>EL13969</t>
  </si>
  <si>
    <t>Lucas Reed</t>
  </si>
  <si>
    <t>748.867.2847x2892</t>
  </si>
  <si>
    <t>DH34808</t>
  </si>
  <si>
    <t>Shirley Copeland</t>
  </si>
  <si>
    <t>(954)026-0008x3358</t>
  </si>
  <si>
    <t>YF53232</t>
  </si>
  <si>
    <t>Melissa Becker</t>
  </si>
  <si>
    <t>710-264-3801x1257</t>
  </si>
  <si>
    <t>ED63966</t>
  </si>
  <si>
    <t>Shannon Carter</t>
  </si>
  <si>
    <t>441.164.6120x1353</t>
  </si>
  <si>
    <t>YE53312</t>
  </si>
  <si>
    <t>Heather Wade</t>
  </si>
  <si>
    <t>12-Feb-21</t>
  </si>
  <si>
    <t>6970647109</t>
  </si>
  <si>
    <t>OL60065</t>
  </si>
  <si>
    <t>Christopher Gray</t>
  </si>
  <si>
    <t>+1-989-362-6851x3475</t>
  </si>
  <si>
    <t>ZQ04213</t>
  </si>
  <si>
    <t>Devin Martinez</t>
  </si>
  <si>
    <t>2-Oct-19</t>
  </si>
  <si>
    <t>213-206-7407x6169</t>
  </si>
  <si>
    <t>MO79313</t>
  </si>
  <si>
    <t>Sara Foster</t>
  </si>
  <si>
    <t>001-857-328-5043x86380</t>
  </si>
  <si>
    <t>VV89182</t>
  </si>
  <si>
    <t>Paul Galloway</t>
  </si>
  <si>
    <t>(211)485-8259x70614</t>
  </si>
  <si>
    <t>NZ60696</t>
  </si>
  <si>
    <t>Kathryn Goodwin</t>
  </si>
  <si>
    <t>184-344-3517</t>
  </si>
  <si>
    <t>HP65004</t>
  </si>
  <si>
    <t>Justin Greene</t>
  </si>
  <si>
    <t>+1-689-048-5262x86718</t>
  </si>
  <si>
    <t>BS45083</t>
  </si>
  <si>
    <t>Angelica Clark</t>
  </si>
  <si>
    <t>9345043374</t>
  </si>
  <si>
    <t>HS78396</t>
  </si>
  <si>
    <t>Mark Graham</t>
  </si>
  <si>
    <t>3-Jan-19</t>
  </si>
  <si>
    <t>649.954.3707x20511</t>
  </si>
  <si>
    <t>CB65750</t>
  </si>
  <si>
    <t>Christopher Dickson</t>
  </si>
  <si>
    <t>001-790-595-8786x417</t>
  </si>
  <si>
    <t>GA26809</t>
  </si>
  <si>
    <t>Jasmine Jones</t>
  </si>
  <si>
    <t>456.434.1573</t>
  </si>
  <si>
    <t>IH78556</t>
  </si>
  <si>
    <t>Sara Brooks</t>
  </si>
  <si>
    <t>867.045.8974</t>
  </si>
  <si>
    <t>EV61106</t>
  </si>
  <si>
    <t>Nicole Walsh</t>
  </si>
  <si>
    <t>7-Jun-18</t>
  </si>
  <si>
    <t>199-214-9628</t>
  </si>
  <si>
    <t>FQ17126</t>
  </si>
  <si>
    <t>Yesenia Barnes</t>
  </si>
  <si>
    <t>Nov 13, 2020</t>
  </si>
  <si>
    <t>446.560.9587x655</t>
  </si>
  <si>
    <t>BO47675</t>
  </si>
  <si>
    <t>Maria Smith</t>
  </si>
  <si>
    <t>+1-017-943-5062x93004</t>
  </si>
  <si>
    <t>CM60054</t>
  </si>
  <si>
    <t>Heather Chandler</t>
  </si>
  <si>
    <t>+1-748-330-4142</t>
  </si>
  <si>
    <t>QS82633</t>
  </si>
  <si>
    <t>Michael Estrada</t>
  </si>
  <si>
    <t>001-995-761-1366x243</t>
  </si>
  <si>
    <t>JS92603</t>
  </si>
  <si>
    <t>Sarah Wiley</t>
  </si>
  <si>
    <t>148.692.4469x369</t>
  </si>
  <si>
    <t>AD68243</t>
  </si>
  <si>
    <t>Mary Miller</t>
  </si>
  <si>
    <t>850.282.3167</t>
  </si>
  <si>
    <t>SN72251</t>
  </si>
  <si>
    <t>Katherine Phillips</t>
  </si>
  <si>
    <t>977.551.4606x38836</t>
  </si>
  <si>
    <t>CH15890</t>
  </si>
  <si>
    <t>Johnny Smith</t>
  </si>
  <si>
    <t>156.577.5108</t>
  </si>
  <si>
    <t>JU93797</t>
  </si>
  <si>
    <t>Joseph Stewart</t>
  </si>
  <si>
    <t>+1-738-749-9271x186</t>
  </si>
  <si>
    <t>MQ53661</t>
  </si>
  <si>
    <t>Edward Moore</t>
  </si>
  <si>
    <t>12-Oct-20</t>
  </si>
  <si>
    <t>(633)277-1290x2447</t>
  </si>
  <si>
    <t>NM21289</t>
  </si>
  <si>
    <t>Mr. Daniel Smith</t>
  </si>
  <si>
    <t>Jun 11, 2021</t>
  </si>
  <si>
    <t>001-487-951-2299x9433</t>
  </si>
  <si>
    <t>UM56797</t>
  </si>
  <si>
    <t>Dr. Samuel Anderson</t>
  </si>
  <si>
    <t>3-Sep-18</t>
  </si>
  <si>
    <t>481.901.2531</t>
  </si>
  <si>
    <t>XN64101</t>
  </si>
  <si>
    <t>Barry Brown</t>
  </si>
  <si>
    <t>21-Dec-20</t>
  </si>
  <si>
    <t>001-501-549-1003</t>
  </si>
  <si>
    <t>LD64984</t>
  </si>
  <si>
    <t>Lori Stewart</t>
  </si>
  <si>
    <t>Jul 16, 2019</t>
  </si>
  <si>
    <t>(922)221-4331</t>
  </si>
  <si>
    <t>DQ75204</t>
  </si>
  <si>
    <t>Emily Smith</t>
  </si>
  <si>
    <t>(254)660-2153x153</t>
  </si>
  <si>
    <t>RA33163</t>
  </si>
  <si>
    <t>Bill Kelly</t>
  </si>
  <si>
    <t>936-320-6486x3235</t>
  </si>
  <si>
    <t>ZM15489</t>
  </si>
  <si>
    <t>Brenda Lutz</t>
  </si>
  <si>
    <t>357.861.6053</t>
  </si>
  <si>
    <t>FB10392</t>
  </si>
  <si>
    <t>Tyler Evans</t>
  </si>
  <si>
    <t>25-Sep-19</t>
  </si>
  <si>
    <t>(218)249-8157</t>
  </si>
  <si>
    <t>NG84997</t>
  </si>
  <si>
    <t>Natalie Fisher</t>
  </si>
  <si>
    <t>29-Aug-19</t>
  </si>
  <si>
    <t>6164949606</t>
  </si>
  <si>
    <t>IG23661</t>
  </si>
  <si>
    <t>Julian Green</t>
  </si>
  <si>
    <t>(313)485-6096x969</t>
  </si>
  <si>
    <t>BU39507</t>
  </si>
  <si>
    <t>David Hughes</t>
  </si>
  <si>
    <t>3532700739</t>
  </si>
  <si>
    <t>AZ16759</t>
  </si>
  <si>
    <t>Jonathan Hebert</t>
  </si>
  <si>
    <t>18-Mar-20</t>
  </si>
  <si>
    <t>532.729.7122x3887</t>
  </si>
  <si>
    <t>RN71778</t>
  </si>
  <si>
    <t>Cynthia Robinson</t>
  </si>
  <si>
    <t>Apr 15, 2020</t>
  </si>
  <si>
    <t>001-002-960-5029x4292</t>
  </si>
  <si>
    <t>KM94732</t>
  </si>
  <si>
    <t>Lori Griffith</t>
  </si>
  <si>
    <t>(188)635-4856x61057</t>
  </si>
  <si>
    <t>HN87438</t>
  </si>
  <si>
    <t>Shawn Paul</t>
  </si>
  <si>
    <t>827.517.9046x385</t>
  </si>
  <si>
    <t>MU44091</t>
  </si>
  <si>
    <t>Bryan Williams</t>
  </si>
  <si>
    <t>788.560.1691</t>
  </si>
  <si>
    <t>XV42543</t>
  </si>
  <si>
    <t>Edward Ramirez</t>
  </si>
  <si>
    <t>3-Jul-19</t>
  </si>
  <si>
    <t>544.553.6553x8546</t>
  </si>
  <si>
    <t>KJ96505</t>
  </si>
  <si>
    <t>Brittany Garcia</t>
  </si>
  <si>
    <t>501-215-3329x23160</t>
  </si>
  <si>
    <t>UH71353</t>
  </si>
  <si>
    <t>John Stevens</t>
  </si>
  <si>
    <t>+1-697-459-2708x5774</t>
  </si>
  <si>
    <t>YR31767</t>
  </si>
  <si>
    <t>Kathryn Lowe</t>
  </si>
  <si>
    <t>29-Jan-18</t>
  </si>
  <si>
    <t>+1-648-353-2167</t>
  </si>
  <si>
    <t>FF51582</t>
  </si>
  <si>
    <t>Jeremy Page</t>
  </si>
  <si>
    <t>24-Apr-20</t>
  </si>
  <si>
    <t>053.353.3600x244</t>
  </si>
  <si>
    <t>HD15208</t>
  </si>
  <si>
    <t>David Patrick</t>
  </si>
  <si>
    <t>16-Sep-20</t>
  </si>
  <si>
    <t>699-732-8763x5723</t>
  </si>
  <si>
    <t>XA29625</t>
  </si>
  <si>
    <t>Sandra Caldwell</t>
  </si>
  <si>
    <t>598.223.1981x161</t>
  </si>
  <si>
    <t>PJ15354</t>
  </si>
  <si>
    <t>Anthony Stanton</t>
  </si>
  <si>
    <t>+1-105-346-5413</t>
  </si>
  <si>
    <t>CS20921</t>
  </si>
  <si>
    <t>Dana Harrington</t>
  </si>
  <si>
    <t>8-Jul-19</t>
  </si>
  <si>
    <t>692.781.7044x7091</t>
  </si>
  <si>
    <t>VU63004</t>
  </si>
  <si>
    <t>Frank Harris</t>
  </si>
  <si>
    <t>048.635.0645x291</t>
  </si>
  <si>
    <t>KI56545</t>
  </si>
  <si>
    <t>Nicole Griffin</t>
  </si>
  <si>
    <t>15-Apr-19</t>
  </si>
  <si>
    <t>(165)531-1166x3620</t>
  </si>
  <si>
    <t>TZ65224</t>
  </si>
  <si>
    <t>Kathleen Stevenson</t>
  </si>
  <si>
    <t>26-Nov-18</t>
  </si>
  <si>
    <t>249-853-6640</t>
  </si>
  <si>
    <t>JS66458</t>
  </si>
  <si>
    <t>Tricia Wood</t>
  </si>
  <si>
    <t>May 14, 2019</t>
  </si>
  <si>
    <t>7924679815</t>
  </si>
  <si>
    <t>HZ92122</t>
  </si>
  <si>
    <t>Tim Ferguson</t>
  </si>
  <si>
    <t>5858074650</t>
  </si>
  <si>
    <t>OO86585</t>
  </si>
  <si>
    <t>Gabriela Hicks</t>
  </si>
  <si>
    <t>3956689554</t>
  </si>
  <si>
    <t>EZ61043</t>
  </si>
  <si>
    <t>Lisa Martin</t>
  </si>
  <si>
    <t>1-Feb-19</t>
  </si>
  <si>
    <t>(734)517-4826</t>
  </si>
  <si>
    <t>CI51567</t>
  </si>
  <si>
    <t>David Perez</t>
  </si>
  <si>
    <t>(204)238-5694</t>
  </si>
  <si>
    <t>PY88766</t>
  </si>
  <si>
    <t>Louis White</t>
  </si>
  <si>
    <t>30-Aug-19</t>
  </si>
  <si>
    <t>+1-372-969-6633x90019</t>
  </si>
  <si>
    <t>ZV89229</t>
  </si>
  <si>
    <t>Eric Mejia</t>
  </si>
  <si>
    <t>163.266.3268x1410</t>
  </si>
  <si>
    <t>CC89045</t>
  </si>
  <si>
    <t>Kelly Brewer</t>
  </si>
  <si>
    <t>(349)975-9784</t>
  </si>
  <si>
    <t>ZM38207</t>
  </si>
  <si>
    <t>Linda Cole</t>
  </si>
  <si>
    <t>959.594.8782x5424</t>
  </si>
  <si>
    <t>DG78990</t>
  </si>
  <si>
    <t>David Jones</t>
  </si>
  <si>
    <t>5416189817</t>
  </si>
  <si>
    <t>PZ08593</t>
  </si>
  <si>
    <t>Raymond Braun</t>
  </si>
  <si>
    <t>5-Nov-18</t>
  </si>
  <si>
    <t>211.921.8710</t>
  </si>
  <si>
    <t>IR47512</t>
  </si>
  <si>
    <t>Kevin Carlson</t>
  </si>
  <si>
    <t>Oct 6, 2020</t>
  </si>
  <si>
    <t>+1-878-621-3861x991</t>
  </si>
  <si>
    <t>IX76144</t>
  </si>
  <si>
    <t>Diane Hanson</t>
  </si>
  <si>
    <t>332.850.4873</t>
  </si>
  <si>
    <t>XQ33273</t>
  </si>
  <si>
    <t>Katherine Stewart</t>
  </si>
  <si>
    <t>(247)495-4507x999</t>
  </si>
  <si>
    <t>AQ85736</t>
  </si>
  <si>
    <t>Roberto Washington</t>
  </si>
  <si>
    <t>+1-508-952-0421x5380</t>
  </si>
  <si>
    <t>GB50122</t>
  </si>
  <si>
    <t>Melanie Gentry</t>
  </si>
  <si>
    <t>17-Apr-19</t>
  </si>
  <si>
    <t>811.213.3881x19491</t>
  </si>
  <si>
    <t>VQ49733</t>
  </si>
  <si>
    <t>Erik Blair</t>
  </si>
  <si>
    <t>4118316856</t>
  </si>
  <si>
    <t>QA66052</t>
  </si>
  <si>
    <t>Tyler Paul</t>
  </si>
  <si>
    <t>21-Mar-18</t>
  </si>
  <si>
    <t>001-055-912-8691x6112</t>
  </si>
  <si>
    <t>YP28866</t>
  </si>
  <si>
    <t>Joseph Davis</t>
  </si>
  <si>
    <t>001-575-850-9980</t>
  </si>
  <si>
    <t>NP61803</t>
  </si>
  <si>
    <t>Ashley Medina</t>
  </si>
  <si>
    <t>001-588-032-5006</t>
  </si>
  <si>
    <t>ZM43866</t>
  </si>
  <si>
    <t>James Jones</t>
  </si>
  <si>
    <t>1-Oct-20</t>
  </si>
  <si>
    <t>1427620956</t>
  </si>
  <si>
    <t>OP71547</t>
  </si>
  <si>
    <t>Cynthia Wood</t>
  </si>
  <si>
    <t>566.158.9289x980</t>
  </si>
  <si>
    <t>AN11525</t>
  </si>
  <si>
    <t>Erika Brown</t>
  </si>
  <si>
    <t>228-329-9191x46398</t>
  </si>
  <si>
    <t>AN20299</t>
  </si>
  <si>
    <t>Lisa Ford</t>
  </si>
  <si>
    <t>+1-499-475-7608x946</t>
  </si>
  <si>
    <t>CL35571</t>
  </si>
  <si>
    <t>Tyler Ashley</t>
  </si>
  <si>
    <t>(462)073-6248</t>
  </si>
  <si>
    <t>BK62519</t>
  </si>
  <si>
    <t>Rhonda Gonzalez</t>
  </si>
  <si>
    <t>135.763.1935</t>
  </si>
  <si>
    <t>GA54555</t>
  </si>
  <si>
    <t>Haley Ford</t>
  </si>
  <si>
    <t>008.555.2720x850</t>
  </si>
  <si>
    <t>SP69939</t>
  </si>
  <si>
    <t>Andrew Ross</t>
  </si>
  <si>
    <t>988-302-3492x09466</t>
  </si>
  <si>
    <t>HF65299</t>
  </si>
  <si>
    <t>Dale Acosta</t>
  </si>
  <si>
    <t>409.758.4586x32616</t>
  </si>
  <si>
    <t>CU19851</t>
  </si>
  <si>
    <t>Teresa Banks</t>
  </si>
  <si>
    <t>631.953.3782x83969</t>
  </si>
  <si>
    <t>HN19474</t>
  </si>
  <si>
    <t>Timothy Cole Jr.</t>
  </si>
  <si>
    <t>5-Feb-19</t>
  </si>
  <si>
    <t>977.569.6715x477</t>
  </si>
  <si>
    <t>JU35437</t>
  </si>
  <si>
    <t>Elizabeth Johnson</t>
  </si>
  <si>
    <t>+1-103-287-0493</t>
  </si>
  <si>
    <t>OU71907</t>
  </si>
  <si>
    <t>Jason Palmer</t>
  </si>
  <si>
    <t>(754)237-0430</t>
  </si>
  <si>
    <t>LO11121</t>
  </si>
  <si>
    <t>Margaret Townsend</t>
  </si>
  <si>
    <t>569.020.4389</t>
  </si>
  <si>
    <t>YU86337</t>
  </si>
  <si>
    <t>Shannon Johnson</t>
  </si>
  <si>
    <t>+1-220-639-9869x07503</t>
  </si>
  <si>
    <t>HC18874</t>
  </si>
  <si>
    <t>Ian Castro</t>
  </si>
  <si>
    <t>2-Dec-20</t>
  </si>
  <si>
    <t>001-493-531-8795x199</t>
  </si>
  <si>
    <t>RT41515</t>
  </si>
  <si>
    <t>James Parker</t>
  </si>
  <si>
    <t>20-Jun-19</t>
  </si>
  <si>
    <t>001-615-748-3574x01562</t>
  </si>
  <si>
    <t>EE06303</t>
  </si>
  <si>
    <t>Tony Wilson</t>
  </si>
  <si>
    <t>13-Jul-20</t>
  </si>
  <si>
    <t>132-274-2106x25210</t>
  </si>
  <si>
    <t>LI21449</t>
  </si>
  <si>
    <t>Edward Nelson</t>
  </si>
  <si>
    <t>810.851.3571</t>
  </si>
  <si>
    <t>IP70638</t>
  </si>
  <si>
    <t>Jasmine Hanson</t>
  </si>
  <si>
    <t>2-Feb-18</t>
  </si>
  <si>
    <t>924-479-7590x1839</t>
  </si>
  <si>
    <t>KR24796</t>
  </si>
  <si>
    <t>Jennifer Allen</t>
  </si>
  <si>
    <t>001-368-665-7171x660</t>
  </si>
  <si>
    <t>SD18897</t>
  </si>
  <si>
    <t>Corey Black</t>
  </si>
  <si>
    <t>6-Dec-18</t>
  </si>
  <si>
    <t>796-545-1341x178</t>
  </si>
  <si>
    <t>ER91255</t>
  </si>
  <si>
    <t>Albert Thomas</t>
  </si>
  <si>
    <t>001-620-312-0406</t>
  </si>
  <si>
    <t>LG49132</t>
  </si>
  <si>
    <t>Kevin Herman</t>
  </si>
  <si>
    <t>000-536-1792</t>
  </si>
  <si>
    <t>UD31699</t>
  </si>
  <si>
    <t>Angel Franklin</t>
  </si>
  <si>
    <t>Dec 24, 2018</t>
  </si>
  <si>
    <t>176-172-9606x667</t>
  </si>
  <si>
    <t>MP76813</t>
  </si>
  <si>
    <t>Jessica Woods</t>
  </si>
  <si>
    <t>4370397113</t>
  </si>
  <si>
    <t>NJ40291</t>
  </si>
  <si>
    <t>Kara Pearson</t>
  </si>
  <si>
    <t>9-Jul-20</t>
  </si>
  <si>
    <t>001-556-751-9889</t>
  </si>
  <si>
    <t>XJ53832</t>
  </si>
  <si>
    <t>Ann Jenkins</t>
  </si>
  <si>
    <t>Jun 5, 2018</t>
  </si>
  <si>
    <t>001-882-234-2092x36379</t>
  </si>
  <si>
    <t>ZX44550</t>
  </si>
  <si>
    <t>Kelly Yates</t>
  </si>
  <si>
    <t>090-892-6213x08858</t>
  </si>
  <si>
    <t>VU51342</t>
  </si>
  <si>
    <t>Deborah Griffith</t>
  </si>
  <si>
    <t>001-414-483-7997x944</t>
  </si>
  <si>
    <t>RP67322</t>
  </si>
  <si>
    <t>Linda Barnes</t>
  </si>
  <si>
    <t>18-Jun-21</t>
  </si>
  <si>
    <t>(412)193-4012</t>
  </si>
  <si>
    <t>ZO08594</t>
  </si>
  <si>
    <t>Dillon Scott</t>
  </si>
  <si>
    <t>Jan 7, 2019</t>
  </si>
  <si>
    <t>576.442.8930x67700</t>
  </si>
  <si>
    <t>UY64911</t>
  </si>
  <si>
    <t>Christine Berry</t>
  </si>
  <si>
    <t>001-757-459-1517x16526</t>
  </si>
  <si>
    <t>ZN79747</t>
  </si>
  <si>
    <t>Robert Graham</t>
  </si>
  <si>
    <t>(967)520-9061x1088</t>
  </si>
  <si>
    <t>MB08363</t>
  </si>
  <si>
    <t>Scott Osborne</t>
  </si>
  <si>
    <t>001-169-011-5489x421</t>
  </si>
  <si>
    <t>QQ25370</t>
  </si>
  <si>
    <t>Stacy Rodriguez</t>
  </si>
  <si>
    <t>30-Mar-20</t>
  </si>
  <si>
    <t>(966)939-8426x87991</t>
  </si>
  <si>
    <t>WL08523</t>
  </si>
  <si>
    <t>Monica Huerta</t>
  </si>
  <si>
    <t>13-Jun-18</t>
  </si>
  <si>
    <t>946-853-2983x1965</t>
  </si>
  <si>
    <t>NG96123</t>
  </si>
  <si>
    <t>Kathy Meyer</t>
  </si>
  <si>
    <t>259.535.5902</t>
  </si>
  <si>
    <t>RP44072</t>
  </si>
  <si>
    <t>Dustin Rojas</t>
  </si>
  <si>
    <t>369-718-9506x99593</t>
  </si>
  <si>
    <t>PF16257</t>
  </si>
  <si>
    <t>Brian Fernandez</t>
  </si>
  <si>
    <t>23-Jul-20</t>
  </si>
  <si>
    <t>169-681-4624</t>
  </si>
  <si>
    <t>SN70070</t>
  </si>
  <si>
    <t>Kim Torres</t>
  </si>
  <si>
    <t>001-260-785-9109x946</t>
  </si>
  <si>
    <t>RN26690</t>
  </si>
  <si>
    <t>Charles Gonzalez</t>
  </si>
  <si>
    <t>001-776-860-0572</t>
  </si>
  <si>
    <t>VB35512</t>
  </si>
  <si>
    <t>Christy Sanchez</t>
  </si>
  <si>
    <t>+1-623-348-7242</t>
  </si>
  <si>
    <t>EW91751</t>
  </si>
  <si>
    <t>Michelle Smith</t>
  </si>
  <si>
    <t>24-Feb-21</t>
  </si>
  <si>
    <t>+1-014-951-4092x5326</t>
  </si>
  <si>
    <t>AB47131</t>
  </si>
  <si>
    <t>Robert Phillips</t>
  </si>
  <si>
    <t>13-Aug-21</t>
  </si>
  <si>
    <t>003-442-5669x21194</t>
  </si>
  <si>
    <t>FP52951</t>
  </si>
  <si>
    <t>Lisa Morton</t>
  </si>
  <si>
    <t>(390)228-6237</t>
  </si>
  <si>
    <t>UO94532</t>
  </si>
  <si>
    <t>Stephanie Booth</t>
  </si>
  <si>
    <t>285-747-9641x773</t>
  </si>
  <si>
    <t>AQ33671</t>
  </si>
  <si>
    <t>(647)816-4820</t>
  </si>
  <si>
    <t>HD98082</t>
  </si>
  <si>
    <t>Tammy Novak</t>
  </si>
  <si>
    <t>(674)350-8783x44757</t>
  </si>
  <si>
    <t>BD31913</t>
  </si>
  <si>
    <t>Pamela Moore</t>
  </si>
  <si>
    <t>24-Sep-20</t>
  </si>
  <si>
    <t>471-026-4058x8237</t>
  </si>
  <si>
    <t>YV34190</t>
  </si>
  <si>
    <t>Ronald Odom</t>
  </si>
  <si>
    <t>Nov 2, 2020</t>
  </si>
  <si>
    <t>001-621-506-1616x488</t>
  </si>
  <si>
    <t>OJ10584</t>
  </si>
  <si>
    <t>Terry Roberts</t>
  </si>
  <si>
    <t>Apr 30, 2018</t>
  </si>
  <si>
    <t>001-422-696-5618</t>
  </si>
  <si>
    <t>QJ86169</t>
  </si>
  <si>
    <t>Dr. Colin Bradley DDS</t>
  </si>
  <si>
    <t>(374)461-2592x35686</t>
  </si>
  <si>
    <t>JH72464</t>
  </si>
  <si>
    <t>Alyssa Jordan</t>
  </si>
  <si>
    <t>732-213-7816x743</t>
  </si>
  <si>
    <t>NO83077</t>
  </si>
  <si>
    <t>429.188.4739x4653</t>
  </si>
  <si>
    <t>IK24631</t>
  </si>
  <si>
    <t>Rose Gilmore</t>
  </si>
  <si>
    <t>001-071-039-9240</t>
  </si>
  <si>
    <t>FO78506</t>
  </si>
  <si>
    <t>Jeremy Gaines</t>
  </si>
  <si>
    <t>038.116.4864</t>
  </si>
  <si>
    <t>FO10188</t>
  </si>
  <si>
    <t>Brian Jordan</t>
  </si>
  <si>
    <t>(814)522-0173</t>
  </si>
  <si>
    <t>VU62162</t>
  </si>
  <si>
    <t>Nicholas Parsons</t>
  </si>
  <si>
    <t>001-893-426-8862x1775</t>
  </si>
  <si>
    <t>CF34365</t>
  </si>
  <si>
    <t>Zachary Jones</t>
  </si>
  <si>
    <t>333-599-9447x5068</t>
  </si>
  <si>
    <t>LV82289</t>
  </si>
  <si>
    <t>Laurie Murphy</t>
  </si>
  <si>
    <t>5189096143</t>
  </si>
  <si>
    <t>AK80862</t>
  </si>
  <si>
    <t>Troy Scott</t>
  </si>
  <si>
    <t>10-Jul-18</t>
  </si>
  <si>
    <t>001-203-253-6171x1607</t>
  </si>
  <si>
    <t>GH76424</t>
  </si>
  <si>
    <t>Adam Taylor</t>
  </si>
  <si>
    <t>001-648-143-2130</t>
  </si>
  <si>
    <t>LW84380</t>
  </si>
  <si>
    <t>Bruce Brown</t>
  </si>
  <si>
    <t>+1-056-432-6883x748</t>
  </si>
  <si>
    <t>RO20206</t>
  </si>
  <si>
    <t>Daniel Luna</t>
  </si>
  <si>
    <t>(619)461-0836x725</t>
  </si>
  <si>
    <t>FQ07827</t>
  </si>
  <si>
    <t>Andre Lewis PhD</t>
  </si>
  <si>
    <t>+1-965-985-3158</t>
  </si>
  <si>
    <t>Section 2</t>
  </si>
  <si>
    <t>Essential Functions</t>
  </si>
  <si>
    <t>Basic Functions</t>
  </si>
  <si>
    <t>Sorting (MinIfs, MaxIfs)</t>
  </si>
  <si>
    <t>Large()</t>
  </si>
  <si>
    <t>Department Report</t>
  </si>
  <si>
    <t>Queries</t>
  </si>
  <si>
    <t>Generate a list of all unique departments within the organization.</t>
  </si>
  <si>
    <t>Calculate the total salary paid to employees working in the 'HR' department.</t>
  </si>
  <si>
    <t>Calculate the total salary of female employees in the 'Finance' department.</t>
  </si>
  <si>
    <t>Determine the average salary of employees working in the 'IT' department.</t>
  </si>
  <si>
    <t>Display the list of all employees from the 'Marketing' department who earn more than ₹50,000.</t>
  </si>
  <si>
    <t>What is the second highest salary in the organization?</t>
  </si>
  <si>
    <t>How many employee names are filled in the dataset.</t>
  </si>
  <si>
    <t>Essential Functions in Excel</t>
  </si>
  <si>
    <t xml:space="preserve">Function </t>
  </si>
  <si>
    <t>UNIQUE</t>
  </si>
  <si>
    <t>SUMIF</t>
  </si>
  <si>
    <t>SUMIFS</t>
  </si>
  <si>
    <t>AVERAGEIF</t>
  </si>
  <si>
    <t>AVERAGEIFS</t>
  </si>
  <si>
    <t>MAXIFS</t>
  </si>
  <si>
    <t>MINIFS</t>
  </si>
  <si>
    <t>LARGE</t>
  </si>
  <si>
    <t>##</t>
  </si>
  <si>
    <t>Unknown</t>
  </si>
  <si>
    <t>Fname</t>
  </si>
  <si>
    <t>LName</t>
  </si>
  <si>
    <t>Michael</t>
  </si>
  <si>
    <t>Davis</t>
  </si>
  <si>
    <t>8168474201</t>
  </si>
  <si>
    <t>David</t>
  </si>
  <si>
    <t>Edwards</t>
  </si>
  <si>
    <t>9956180161</t>
  </si>
  <si>
    <t>Laura</t>
  </si>
  <si>
    <t>Lawrence</t>
  </si>
  <si>
    <t>5704202367</t>
  </si>
  <si>
    <t>Andrew</t>
  </si>
  <si>
    <t>Hardin</t>
  </si>
  <si>
    <t>Monique</t>
  </si>
  <si>
    <t>Diaz</t>
  </si>
  <si>
    <t>61045329152013</t>
  </si>
  <si>
    <t>Dawn</t>
  </si>
  <si>
    <t>Howell</t>
  </si>
  <si>
    <t>9561542970</t>
  </si>
  <si>
    <t>Veronica</t>
  </si>
  <si>
    <t>Bell</t>
  </si>
  <si>
    <t>Jennifer</t>
  </si>
  <si>
    <t>Whitaker</t>
  </si>
  <si>
    <t>5223485582</t>
  </si>
  <si>
    <t>Elizabeth</t>
  </si>
  <si>
    <t>Martin</t>
  </si>
  <si>
    <t>041-835-5373088</t>
  </si>
  <si>
    <t>Robert</t>
  </si>
  <si>
    <t>Powers</t>
  </si>
  <si>
    <t>Tiffany</t>
  </si>
  <si>
    <t>White</t>
  </si>
  <si>
    <t>(689)259-331205590</t>
  </si>
  <si>
    <t>Alex</t>
  </si>
  <si>
    <t>Jones</t>
  </si>
  <si>
    <t>Troy</t>
  </si>
  <si>
    <t>Swanson</t>
  </si>
  <si>
    <t>(598)445-91004931</t>
  </si>
  <si>
    <t>Diane</t>
  </si>
  <si>
    <t>Wilson</t>
  </si>
  <si>
    <t>92749994164491</t>
  </si>
  <si>
    <t>Tammy</t>
  </si>
  <si>
    <t>Castaneda</t>
  </si>
  <si>
    <t>001-337-748-3545048</t>
  </si>
  <si>
    <t>Benjamin</t>
  </si>
  <si>
    <t>Johnson</t>
  </si>
  <si>
    <t>068201863206883</t>
  </si>
  <si>
    <t>Paul</t>
  </si>
  <si>
    <t>Clark</t>
  </si>
  <si>
    <t>+1-523-072-20870237</t>
  </si>
  <si>
    <t>Stephanie</t>
  </si>
  <si>
    <t>Baxter</t>
  </si>
  <si>
    <t>9995549734</t>
  </si>
  <si>
    <t>Harrison</t>
  </si>
  <si>
    <t>569-862-25943605</t>
  </si>
  <si>
    <t>Moss</t>
  </si>
  <si>
    <t>(125)496-540720213</t>
  </si>
  <si>
    <t>Garcia</t>
  </si>
  <si>
    <t>0246254622</t>
  </si>
  <si>
    <t>Megan</t>
  </si>
  <si>
    <t>Patton</t>
  </si>
  <si>
    <t>(382)627-6669817</t>
  </si>
  <si>
    <t>Sue</t>
  </si>
  <si>
    <t>Arnold</t>
  </si>
  <si>
    <t>42390130648235</t>
  </si>
  <si>
    <t>Chelsea</t>
  </si>
  <si>
    <t>Barrett</t>
  </si>
  <si>
    <t>472-078-69599182</t>
  </si>
  <si>
    <t>Fitzgerald</t>
  </si>
  <si>
    <t>633253652176983</t>
  </si>
  <si>
    <t>Alexis</t>
  </si>
  <si>
    <t>Webb</t>
  </si>
  <si>
    <t>+1-638-076-797524762</t>
  </si>
  <si>
    <t>Samuel</t>
  </si>
  <si>
    <t>Bautista</t>
  </si>
  <si>
    <t>Taylor</t>
  </si>
  <si>
    <t>Crystal</t>
  </si>
  <si>
    <t>Torres</t>
  </si>
  <si>
    <t>William</t>
  </si>
  <si>
    <t>Larson</t>
  </si>
  <si>
    <t>(249)393-65206093</t>
  </si>
  <si>
    <t>Derek</t>
  </si>
  <si>
    <t>Anderson</t>
  </si>
  <si>
    <t>3586287693</t>
  </si>
  <si>
    <t>Moreno</t>
  </si>
  <si>
    <t>+1-897-779-6202662</t>
  </si>
  <si>
    <t>Holly</t>
  </si>
  <si>
    <t>Lee</t>
  </si>
  <si>
    <t>69073946443973</t>
  </si>
  <si>
    <t>Richard</t>
  </si>
  <si>
    <t>Chan</t>
  </si>
  <si>
    <t>001-045-065-1755610</t>
  </si>
  <si>
    <t>Kelly</t>
  </si>
  <si>
    <t>Cohen</t>
  </si>
  <si>
    <t>001-223-915-93738259</t>
  </si>
  <si>
    <t>Scott</t>
  </si>
  <si>
    <t>Ramos</t>
  </si>
  <si>
    <t>Suzanne</t>
  </si>
  <si>
    <t>Ali</t>
  </si>
  <si>
    <t>001-634-043-590719985</t>
  </si>
  <si>
    <t>Adrian</t>
  </si>
  <si>
    <t>Estrada</t>
  </si>
  <si>
    <t>Cindy</t>
  </si>
  <si>
    <t>Robinson</t>
  </si>
  <si>
    <t>6038275242</t>
  </si>
  <si>
    <t>Stephen</t>
  </si>
  <si>
    <t>Thompson</t>
  </si>
  <si>
    <t>Christopher</t>
  </si>
  <si>
    <t>Porter</t>
  </si>
  <si>
    <t>Valerie</t>
  </si>
  <si>
    <t>Nguyen</t>
  </si>
  <si>
    <t>+1-412-570-43568401</t>
  </si>
  <si>
    <t>Aaron</t>
  </si>
  <si>
    <t>Bowers</t>
  </si>
  <si>
    <t>+1-039-295-43982963</t>
  </si>
  <si>
    <t>Barbara</t>
  </si>
  <si>
    <t>189-587-24142351</t>
  </si>
  <si>
    <t>Williamson</t>
  </si>
  <si>
    <t>Brandi</t>
  </si>
  <si>
    <t>Soto</t>
  </si>
  <si>
    <t>036-467-5337189</t>
  </si>
  <si>
    <t>Ronald</t>
  </si>
  <si>
    <t>Brandon</t>
  </si>
  <si>
    <t>Miller</t>
  </si>
  <si>
    <t>+1-869-002-0402785</t>
  </si>
  <si>
    <t>Nicholas</t>
  </si>
  <si>
    <t>Sellers</t>
  </si>
  <si>
    <t>Brandy</t>
  </si>
  <si>
    <t>Galvan</t>
  </si>
  <si>
    <t>933-759-43473307</t>
  </si>
  <si>
    <t>Regina</t>
  </si>
  <si>
    <t>Price</t>
  </si>
  <si>
    <t>1203499222651</t>
  </si>
  <si>
    <t>Cheryl</t>
  </si>
  <si>
    <t>Mccarty</t>
  </si>
  <si>
    <t>0154468218157</t>
  </si>
  <si>
    <t>Glenn</t>
  </si>
  <si>
    <t>059-690-049555137</t>
  </si>
  <si>
    <t>Mark</t>
  </si>
  <si>
    <t>Hancock</t>
  </si>
  <si>
    <t>Gregory</t>
  </si>
  <si>
    <t>001-416-554-0127094</t>
  </si>
  <si>
    <t>Cook</t>
  </si>
  <si>
    <t>Bobby</t>
  </si>
  <si>
    <t>Dodson</t>
  </si>
  <si>
    <t>+1-963-421-8082100</t>
  </si>
  <si>
    <t>Gibson</t>
  </si>
  <si>
    <t>841-475-1087955</t>
  </si>
  <si>
    <t>Alyssa</t>
  </si>
  <si>
    <t>(440)410-247440325</t>
  </si>
  <si>
    <t>Powell</t>
  </si>
  <si>
    <t>Catherine</t>
  </si>
  <si>
    <t>Whitehead</t>
  </si>
  <si>
    <t>001-500-776-0440022</t>
  </si>
  <si>
    <t>+1-987-562-0425609</t>
  </si>
  <si>
    <t>001-280-984-13346470</t>
  </si>
  <si>
    <t>Leslie</t>
  </si>
  <si>
    <t>Weiss</t>
  </si>
  <si>
    <t>229-827-97238458</t>
  </si>
  <si>
    <t>Rodriguez</t>
  </si>
  <si>
    <t>001-887-100-645822481</t>
  </si>
  <si>
    <t>Margaret</t>
  </si>
  <si>
    <t>Vasquez</t>
  </si>
  <si>
    <t>98211753452617</t>
  </si>
  <si>
    <t>Kristin</t>
  </si>
  <si>
    <t>Carpenter</t>
  </si>
  <si>
    <t>Jason</t>
  </si>
  <si>
    <t>Brown</t>
  </si>
  <si>
    <t>001-972-098-533264883</t>
  </si>
  <si>
    <t>Eric</t>
  </si>
  <si>
    <t>Parker</t>
  </si>
  <si>
    <t>707-396-8962868</t>
  </si>
  <si>
    <t>Autumn</t>
  </si>
  <si>
    <t>Kayla</t>
  </si>
  <si>
    <t>Rose</t>
  </si>
  <si>
    <t>Moore</t>
  </si>
  <si>
    <t>521-183-45427027</t>
  </si>
  <si>
    <t>Brian</t>
  </si>
  <si>
    <t>Burton</t>
  </si>
  <si>
    <t>Mario</t>
  </si>
  <si>
    <t>+1-656-620-95165024</t>
  </si>
  <si>
    <t>Jacob</t>
  </si>
  <si>
    <t>Oconnor</t>
  </si>
  <si>
    <t>8923468015134</t>
  </si>
  <si>
    <t>Vanessa</t>
  </si>
  <si>
    <t>Duncan</t>
  </si>
  <si>
    <t>Thomas</t>
  </si>
  <si>
    <t>748-077-82204913</t>
  </si>
  <si>
    <t>Clayton</t>
  </si>
  <si>
    <t>Mitchell</t>
  </si>
  <si>
    <t>8832289515945</t>
  </si>
  <si>
    <t>Olsen</t>
  </si>
  <si>
    <t>873-175-615632876</t>
  </si>
  <si>
    <t>Karen</t>
  </si>
  <si>
    <t>Palmer</t>
  </si>
  <si>
    <t>Russell</t>
  </si>
  <si>
    <t>Wood</t>
  </si>
  <si>
    <t>957-790-08871579</t>
  </si>
  <si>
    <t>Andrea</t>
  </si>
  <si>
    <t>Gonzalez</t>
  </si>
  <si>
    <t>+1-367-096-0813385</t>
  </si>
  <si>
    <t>Joseph</t>
  </si>
  <si>
    <t>Collier</t>
  </si>
  <si>
    <t>Frank</t>
  </si>
  <si>
    <t>Ford</t>
  </si>
  <si>
    <t>9762572418</t>
  </si>
  <si>
    <t>Sally</t>
  </si>
  <si>
    <t>Keller</t>
  </si>
  <si>
    <t>001-250-728-027497550</t>
  </si>
  <si>
    <t>Alison</t>
  </si>
  <si>
    <t>Flores</t>
  </si>
  <si>
    <t>007995055295212</t>
  </si>
  <si>
    <t>Amy</t>
  </si>
  <si>
    <t>Green</t>
  </si>
  <si>
    <t>26689331178604</t>
  </si>
  <si>
    <t>Dixon</t>
  </si>
  <si>
    <t>Melissa</t>
  </si>
  <si>
    <t>Conway</t>
  </si>
  <si>
    <t>Branch</t>
  </si>
  <si>
    <t>Deborah</t>
  </si>
  <si>
    <t>Navarro</t>
  </si>
  <si>
    <t>Morton</t>
  </si>
  <si>
    <t>Patterson</t>
  </si>
  <si>
    <t>62890132785324</t>
  </si>
  <si>
    <t>Joshua</t>
  </si>
  <si>
    <t>8248619888395</t>
  </si>
  <si>
    <t>Cassandra</t>
  </si>
  <si>
    <t>001-025-513-69222004</t>
  </si>
  <si>
    <t>Knight</t>
  </si>
  <si>
    <t>Terry</t>
  </si>
  <si>
    <t>Hayes</t>
  </si>
  <si>
    <t>069-394-65727659</t>
  </si>
  <si>
    <t>Hunt</t>
  </si>
  <si>
    <t>(731)133-434514961</t>
  </si>
  <si>
    <t>Emily</t>
  </si>
  <si>
    <t>Ward</t>
  </si>
  <si>
    <t>512-083-9667455</t>
  </si>
  <si>
    <t>Ethan</t>
  </si>
  <si>
    <t>Hall</t>
  </si>
  <si>
    <t>015-139-120863398</t>
  </si>
  <si>
    <t>Patrick</t>
  </si>
  <si>
    <t>Douglas</t>
  </si>
  <si>
    <t>49647499780027</t>
  </si>
  <si>
    <t>Calvin</t>
  </si>
  <si>
    <t>Gray</t>
  </si>
  <si>
    <t>Amber</t>
  </si>
  <si>
    <t>King</t>
  </si>
  <si>
    <t>1817041846</t>
  </si>
  <si>
    <t>400-123-1894530</t>
  </si>
  <si>
    <t>Brent</t>
  </si>
  <si>
    <t>Reyes</t>
  </si>
  <si>
    <t>001-844-978-93433644</t>
  </si>
  <si>
    <t>Lindsey</t>
  </si>
  <si>
    <t>Miles</t>
  </si>
  <si>
    <t>001-230-939-27349314</t>
  </si>
  <si>
    <t>Leah</t>
  </si>
  <si>
    <t>Clements</t>
  </si>
  <si>
    <t>001-026-561-9509567</t>
  </si>
  <si>
    <t>Bryant</t>
  </si>
  <si>
    <t>Jonathan</t>
  </si>
  <si>
    <t>354325334004784</t>
  </si>
  <si>
    <t>Angela</t>
  </si>
  <si>
    <t>Dudley</t>
  </si>
  <si>
    <t>308100184558921</t>
  </si>
  <si>
    <t>Kevin</t>
  </si>
  <si>
    <t>Mclaughlin</t>
  </si>
  <si>
    <t>+1-210-345-94215993</t>
  </si>
  <si>
    <t>Jim</t>
  </si>
  <si>
    <t>Moody</t>
  </si>
  <si>
    <t>(264)361-8900850</t>
  </si>
  <si>
    <t>Haley</t>
  </si>
  <si>
    <t>Molina</t>
  </si>
  <si>
    <t>6666205497</t>
  </si>
  <si>
    <t>Fischer</t>
  </si>
  <si>
    <t>(257)702-55093137</t>
  </si>
  <si>
    <t>Brooke</t>
  </si>
  <si>
    <t>Hester</t>
  </si>
  <si>
    <t>Kristen</t>
  </si>
  <si>
    <t>Griffin</t>
  </si>
  <si>
    <t>(847)364-0486282</t>
  </si>
  <si>
    <t>Hernandez</t>
  </si>
  <si>
    <t>9584896069</t>
  </si>
  <si>
    <t>Anita</t>
  </si>
  <si>
    <t>Meyer</t>
  </si>
  <si>
    <t>(607)892-437641272</t>
  </si>
  <si>
    <t>Cynthia</t>
  </si>
  <si>
    <t>Weaver</t>
  </si>
  <si>
    <t>Chad</t>
  </si>
  <si>
    <t>Montoya</t>
  </si>
  <si>
    <t>Lucas</t>
  </si>
  <si>
    <t>Reed</t>
  </si>
  <si>
    <t>74886728472892</t>
  </si>
  <si>
    <t>Shirley</t>
  </si>
  <si>
    <t>Copeland</t>
  </si>
  <si>
    <t>(954)026-00083358</t>
  </si>
  <si>
    <t>Becker</t>
  </si>
  <si>
    <t>710-264-38011257</t>
  </si>
  <si>
    <t>Shannon</t>
  </si>
  <si>
    <t>Carter</t>
  </si>
  <si>
    <t>44116461201353</t>
  </si>
  <si>
    <t>Heather</t>
  </si>
  <si>
    <t>Wade</t>
  </si>
  <si>
    <t>Devin</t>
  </si>
  <si>
    <t>Martinez</t>
  </si>
  <si>
    <t>213-206-74076169</t>
  </si>
  <si>
    <t>Sara</t>
  </si>
  <si>
    <t>Foster</t>
  </si>
  <si>
    <t>001-857-328-504386380</t>
  </si>
  <si>
    <t>Galloway</t>
  </si>
  <si>
    <t>(211)485-825970614</t>
  </si>
  <si>
    <t>Kathryn</t>
  </si>
  <si>
    <t>Goodwin</t>
  </si>
  <si>
    <t>Justin</t>
  </si>
  <si>
    <t>Greene</t>
  </si>
  <si>
    <t>+1-689-048-526286718</t>
  </si>
  <si>
    <t>Angelica</t>
  </si>
  <si>
    <t>Graham</t>
  </si>
  <si>
    <t>649954370720511</t>
  </si>
  <si>
    <t>Dickson</t>
  </si>
  <si>
    <t>001-790-595-8786417</t>
  </si>
  <si>
    <t>Jasmine</t>
  </si>
  <si>
    <t>4564341573</t>
  </si>
  <si>
    <t>Brooks</t>
  </si>
  <si>
    <t>8670458974</t>
  </si>
  <si>
    <t>Nicole</t>
  </si>
  <si>
    <t>Walsh</t>
  </si>
  <si>
    <t>Yesenia</t>
  </si>
  <si>
    <t>Barnes</t>
  </si>
  <si>
    <t>4465609587655</t>
  </si>
  <si>
    <t>Maria</t>
  </si>
  <si>
    <t>Smith</t>
  </si>
  <si>
    <t>+1-017-943-506293004</t>
  </si>
  <si>
    <t>Chandler</t>
  </si>
  <si>
    <t>001-995-761-1366243</t>
  </si>
  <si>
    <t>Sarah</t>
  </si>
  <si>
    <t>Wiley</t>
  </si>
  <si>
    <t>1486924469369</t>
  </si>
  <si>
    <t>Katherine</t>
  </si>
  <si>
    <t>Phillips</t>
  </si>
  <si>
    <t>977551460638836</t>
  </si>
  <si>
    <t>Johnny</t>
  </si>
  <si>
    <t>1565775108</t>
  </si>
  <si>
    <t>Stewart</t>
  </si>
  <si>
    <t>+1-738-749-9271186</t>
  </si>
  <si>
    <t>Edward</t>
  </si>
  <si>
    <t>(633)277-12902447</t>
  </si>
  <si>
    <t>Mr.</t>
  </si>
  <si>
    <t>Daniel</t>
  </si>
  <si>
    <t>001-487-951-22999433</t>
  </si>
  <si>
    <t>Dr.</t>
  </si>
  <si>
    <t>4819012531</t>
  </si>
  <si>
    <t>Lori</t>
  </si>
  <si>
    <t>(254)660-2153153</t>
  </si>
  <si>
    <t>Bill</t>
  </si>
  <si>
    <t>936-320-64863235</t>
  </si>
  <si>
    <t>Brenda</t>
  </si>
  <si>
    <t>Lutz</t>
  </si>
  <si>
    <t>3578616053</t>
  </si>
  <si>
    <t>Tyler</t>
  </si>
  <si>
    <t>Evans</t>
  </si>
  <si>
    <t>Natalie</t>
  </si>
  <si>
    <t>Fisher</t>
  </si>
  <si>
    <t>Julian</t>
  </si>
  <si>
    <t>(313)485-6096969</t>
  </si>
  <si>
    <t>Hughes</t>
  </si>
  <si>
    <t>Hebert</t>
  </si>
  <si>
    <t>53272971223887</t>
  </si>
  <si>
    <t>001-002-960-50294292</t>
  </si>
  <si>
    <t>Griffith</t>
  </si>
  <si>
    <t>(188)635-485661057</t>
  </si>
  <si>
    <t>Shawn</t>
  </si>
  <si>
    <t>8275179046385</t>
  </si>
  <si>
    <t>Bryan</t>
  </si>
  <si>
    <t>Williams</t>
  </si>
  <si>
    <t>7885601691</t>
  </si>
  <si>
    <t>Ramirez</t>
  </si>
  <si>
    <t>54455365538546</t>
  </si>
  <si>
    <t>Brittany</t>
  </si>
  <si>
    <t>501-215-332923160</t>
  </si>
  <si>
    <t>John</t>
  </si>
  <si>
    <t>Stevens</t>
  </si>
  <si>
    <t>+1-697-459-27085774</t>
  </si>
  <si>
    <t>Lowe</t>
  </si>
  <si>
    <t>Jeremy</t>
  </si>
  <si>
    <t>Page</t>
  </si>
  <si>
    <t>0533533600244</t>
  </si>
  <si>
    <t>699-732-87635723</t>
  </si>
  <si>
    <t>Sandra</t>
  </si>
  <si>
    <t>Caldwell</t>
  </si>
  <si>
    <t>5982231981161</t>
  </si>
  <si>
    <t>Anthony</t>
  </si>
  <si>
    <t>Stanton</t>
  </si>
  <si>
    <t>Dana</t>
  </si>
  <si>
    <t>Harrington</t>
  </si>
  <si>
    <t>69278170447091</t>
  </si>
  <si>
    <t>Harris</t>
  </si>
  <si>
    <t>0486350645291</t>
  </si>
  <si>
    <t>(165)531-11663620</t>
  </si>
  <si>
    <t>Kathleen</t>
  </si>
  <si>
    <t>Stevenson</t>
  </si>
  <si>
    <t>Tricia</t>
  </si>
  <si>
    <t>Tim</t>
  </si>
  <si>
    <t>Ferguson</t>
  </si>
  <si>
    <t>Gabriela</t>
  </si>
  <si>
    <t>Hicks</t>
  </si>
  <si>
    <t>Lisa</t>
  </si>
  <si>
    <t>Perez</t>
  </si>
  <si>
    <t>Louis</t>
  </si>
  <si>
    <t>+1-372-969-663390019</t>
  </si>
  <si>
    <t>Mejia</t>
  </si>
  <si>
    <t>16326632681410</t>
  </si>
  <si>
    <t>Brewer</t>
  </si>
  <si>
    <t>Linda</t>
  </si>
  <si>
    <t>Cole</t>
  </si>
  <si>
    <t>95959487825424</t>
  </si>
  <si>
    <t>Raymond</t>
  </si>
  <si>
    <t>Braun</t>
  </si>
  <si>
    <t>2119218710</t>
  </si>
  <si>
    <t>Carlson</t>
  </si>
  <si>
    <t>+1-878-621-3861991</t>
  </si>
  <si>
    <t>Hanson</t>
  </si>
  <si>
    <t>3328504873</t>
  </si>
  <si>
    <t>(247)495-4507999</t>
  </si>
  <si>
    <t>Roberto</t>
  </si>
  <si>
    <t>Washington</t>
  </si>
  <si>
    <t>+1-508-952-04215380</t>
  </si>
  <si>
    <t>Melanie</t>
  </si>
  <si>
    <t>Gentry</t>
  </si>
  <si>
    <t>811213388119491</t>
  </si>
  <si>
    <t>Erik</t>
  </si>
  <si>
    <t>Blair</t>
  </si>
  <si>
    <t>001-055-912-86916112</t>
  </si>
  <si>
    <t>Ashley</t>
  </si>
  <si>
    <t>Medina</t>
  </si>
  <si>
    <t>James</t>
  </si>
  <si>
    <t>5661589289980</t>
  </si>
  <si>
    <t>Erika</t>
  </si>
  <si>
    <t>228-329-919146398</t>
  </si>
  <si>
    <t>+1-499-475-7608946</t>
  </si>
  <si>
    <t>Rhonda</t>
  </si>
  <si>
    <t>1357631935</t>
  </si>
  <si>
    <t>0085552720850</t>
  </si>
  <si>
    <t>Ross</t>
  </si>
  <si>
    <t>988-302-349209466</t>
  </si>
  <si>
    <t>Dale</t>
  </si>
  <si>
    <t>Acosta</t>
  </si>
  <si>
    <t>409758458632616</t>
  </si>
  <si>
    <t>Teresa</t>
  </si>
  <si>
    <t>Banks</t>
  </si>
  <si>
    <t>631953378283969</t>
  </si>
  <si>
    <t>Townsend</t>
  </si>
  <si>
    <t>5690204389</t>
  </si>
  <si>
    <t>+1-220-639-986907503</t>
  </si>
  <si>
    <t>Ian</t>
  </si>
  <si>
    <t>Castro</t>
  </si>
  <si>
    <t>001-493-531-8795199</t>
  </si>
  <si>
    <t>001-615-748-357401562</t>
  </si>
  <si>
    <t>Tony</t>
  </si>
  <si>
    <t>132-274-210625210</t>
  </si>
  <si>
    <t>Nelson</t>
  </si>
  <si>
    <t>8108513571</t>
  </si>
  <si>
    <t>924-479-75901839</t>
  </si>
  <si>
    <t>Allen</t>
  </si>
  <si>
    <t>001-368-665-7171660</t>
  </si>
  <si>
    <t>Corey</t>
  </si>
  <si>
    <t>Black</t>
  </si>
  <si>
    <t>796-545-1341178</t>
  </si>
  <si>
    <t>Albert</t>
  </si>
  <si>
    <t>Herman</t>
  </si>
  <si>
    <t>Angel</t>
  </si>
  <si>
    <t>Franklin</t>
  </si>
  <si>
    <t>176-172-9606667</t>
  </si>
  <si>
    <t>Jessica</t>
  </si>
  <si>
    <t>Woods</t>
  </si>
  <si>
    <t>Kara</t>
  </si>
  <si>
    <t>Pearson</t>
  </si>
  <si>
    <t>Ann</t>
  </si>
  <si>
    <t>Jenkins</t>
  </si>
  <si>
    <t>001-882-234-209236379</t>
  </si>
  <si>
    <t>Yates</t>
  </si>
  <si>
    <t>090-892-621308858</t>
  </si>
  <si>
    <t>001-414-483-7997944</t>
  </si>
  <si>
    <t>Dillon</t>
  </si>
  <si>
    <t>576442893067700</t>
  </si>
  <si>
    <t>Christine</t>
  </si>
  <si>
    <t>Berry</t>
  </si>
  <si>
    <t>001-757-459-151716526</t>
  </si>
  <si>
    <t>(967)520-90611088</t>
  </si>
  <si>
    <t>Osborne</t>
  </si>
  <si>
    <t>001-169-011-5489421</t>
  </si>
  <si>
    <t>Stacy</t>
  </si>
  <si>
    <t>(966)939-842687991</t>
  </si>
  <si>
    <t>Monica</t>
  </si>
  <si>
    <t>Huerta</t>
  </si>
  <si>
    <t>946-853-29831965</t>
  </si>
  <si>
    <t>Kathy</t>
  </si>
  <si>
    <t>2595355902</t>
  </si>
  <si>
    <t>Dustin</t>
  </si>
  <si>
    <t>Rojas</t>
  </si>
  <si>
    <t>369-718-950699593</t>
  </si>
  <si>
    <t>Kim</t>
  </si>
  <si>
    <t>001-260-785-9109946</t>
  </si>
  <si>
    <t>Charles</t>
  </si>
  <si>
    <t>Michelle</t>
  </si>
  <si>
    <t>+1-014-951-40925326</t>
  </si>
  <si>
    <t>003-442-566921194</t>
  </si>
  <si>
    <t>Booth</t>
  </si>
  <si>
    <t>285-747-9641773</t>
  </si>
  <si>
    <t>Novak</t>
  </si>
  <si>
    <t>(674)350-878344757</t>
  </si>
  <si>
    <t>Pamela</t>
  </si>
  <si>
    <t>471-026-40588237</t>
  </si>
  <si>
    <t>Odom</t>
  </si>
  <si>
    <t>001-621-506-1616488</t>
  </si>
  <si>
    <t>Roberts</t>
  </si>
  <si>
    <t>Jordan</t>
  </si>
  <si>
    <t>732-213-7816743</t>
  </si>
  <si>
    <t>42918847394653</t>
  </si>
  <si>
    <t>Gilmore</t>
  </si>
  <si>
    <t>Gaines</t>
  </si>
  <si>
    <t>0381164864</t>
  </si>
  <si>
    <t>Parsons</t>
  </si>
  <si>
    <t>001-893-426-88621775</t>
  </si>
  <si>
    <t>Zachary</t>
  </si>
  <si>
    <t>333-599-94475068</t>
  </si>
  <si>
    <t>Laurie</t>
  </si>
  <si>
    <t>Murphy</t>
  </si>
  <si>
    <t>001-203-253-61711607</t>
  </si>
  <si>
    <t>Adam</t>
  </si>
  <si>
    <t>Bruce</t>
  </si>
  <si>
    <t>+1-056-432-6883748</t>
  </si>
  <si>
    <t>Luna</t>
  </si>
  <si>
    <t>(619)461-0836725</t>
  </si>
  <si>
    <t>Andre</t>
  </si>
  <si>
    <t>Lewis</t>
  </si>
  <si>
    <t>How many employees are currently assigned in Germany.</t>
  </si>
  <si>
    <t xml:space="preserve"> COUNT FUNCTIONS</t>
  </si>
  <si>
    <t>Total</t>
  </si>
  <si>
    <t>Find the average salary of male employees working for Fixed Term .</t>
  </si>
  <si>
    <t>FILTER, SORT, TAKE AND LARGE</t>
  </si>
  <si>
    <t>MAX</t>
  </si>
  <si>
    <t>MIN</t>
  </si>
  <si>
    <t>What is the highest salary earned by employees?</t>
  </si>
  <si>
    <t>Determine the minimum salary among employees?</t>
  </si>
  <si>
    <t>Identify the maximum salary earned by male employees working in Australia who joined in 2020</t>
  </si>
  <si>
    <t>What is the minimum salary among Fixed-Term female employees in the 'R&amp;D' department?</t>
  </si>
  <si>
    <t>Filter (), Choose()</t>
  </si>
  <si>
    <t>Unique(), Count(), Countif(), Countifs()</t>
  </si>
  <si>
    <t>Conditional (Sumif(), AverageIfs()</t>
  </si>
  <si>
    <t>Highest Salary</t>
  </si>
  <si>
    <t>Total Employees</t>
  </si>
  <si>
    <t>Average Pay</t>
  </si>
  <si>
    <t>Median Salary</t>
  </si>
  <si>
    <t>High Earners (&gt;100k)</t>
  </si>
  <si>
    <t>Pay Ranking</t>
  </si>
  <si>
    <t>DEPARTMENT REPORT 2025</t>
  </si>
  <si>
    <t>Diff From Company Average</t>
  </si>
  <si>
    <t>EMP ID</t>
  </si>
  <si>
    <t>XLOOKUP</t>
  </si>
  <si>
    <t>By XloopUp</t>
  </si>
  <si>
    <t>Salary &gt;= 120k</t>
  </si>
  <si>
    <t>by Filter</t>
  </si>
  <si>
    <t>BY Xlookup</t>
  </si>
  <si>
    <t>BY FILTER</t>
  </si>
  <si>
    <t>VLOOKUP</t>
  </si>
  <si>
    <t>NAME</t>
  </si>
  <si>
    <t>HLOOKUP</t>
  </si>
  <si>
    <t>WORK LOCATION</t>
  </si>
  <si>
    <t>MATCHING</t>
  </si>
  <si>
    <t>INDEX</t>
  </si>
  <si>
    <t>ALL DETAILS BY XLOOKUP</t>
  </si>
  <si>
    <t>Section 3</t>
  </si>
  <si>
    <t>Miscelleneuous Functions</t>
  </si>
  <si>
    <t>VlookU()</t>
  </si>
  <si>
    <t>XLookUp()</t>
  </si>
  <si>
    <t>HLookUp()</t>
  </si>
  <si>
    <t>Matching and Indexing</t>
  </si>
  <si>
    <t>TextJoin()</t>
  </si>
  <si>
    <t>Pivot Table &amp; Charts</t>
  </si>
  <si>
    <t>C1</t>
  </si>
  <si>
    <t>C2</t>
  </si>
  <si>
    <t>C3</t>
  </si>
  <si>
    <t>C4</t>
  </si>
  <si>
    <t>C6</t>
  </si>
  <si>
    <t>Apr</t>
  </si>
  <si>
    <t>Mohit</t>
  </si>
  <si>
    <t>North</t>
  </si>
  <si>
    <t>Monitor</t>
  </si>
  <si>
    <t>Mar</t>
  </si>
  <si>
    <t>Riya</t>
  </si>
  <si>
    <t>Laptop</t>
  </si>
  <si>
    <t>Jan</t>
  </si>
  <si>
    <t>Simran</t>
  </si>
  <si>
    <t>Raj</t>
  </si>
  <si>
    <t>West</t>
  </si>
  <si>
    <t>Jun</t>
  </si>
  <si>
    <t>East</t>
  </si>
  <si>
    <t>Feb</t>
  </si>
  <si>
    <t>Mouse</t>
  </si>
  <si>
    <t>Keyboard</t>
  </si>
  <si>
    <t>Anjali</t>
  </si>
  <si>
    <t>Headset</t>
  </si>
  <si>
    <t>South</t>
  </si>
  <si>
    <t>May</t>
  </si>
  <si>
    <t>Quantity</t>
  </si>
  <si>
    <t>Month</t>
  </si>
  <si>
    <t>Employee</t>
  </si>
  <si>
    <t>Region</t>
  </si>
  <si>
    <t>Product</t>
  </si>
  <si>
    <t>We are planning to allocate next quarter's budget. Can you tell me how much total revenue each region generated?"</t>
  </si>
  <si>
    <t>Pivot Table and Chart in Excel</t>
  </si>
  <si>
    <t>Management wants a quick summary: How many units of each product did we sell, and what was their average selling price?</t>
  </si>
  <si>
    <t>We need to understand monthly sales trends to adjust our marketing efforts. Can you show how our total sales varied month-by-month?</t>
  </si>
  <si>
    <t>Which salesperson is doing well in which region? We’re considering performance-based bonuses.</t>
  </si>
  <si>
    <t>We want to focus on our best-selling products. Can you list the top 3 products based on total sales?"</t>
  </si>
  <si>
    <t>The product team wants to analyze sales patterns across months for each product. Can you break down monthly sales for each product?</t>
  </si>
  <si>
    <t>We need to know which employee is contributing how much to each product category. This will help in team allocation</t>
  </si>
  <si>
    <t>Is pricing consistent across regions? Show the average unit price of products sold in each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</si>
</sst>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₹&quot;\ #,##0.00"/>
  </numFmts>
  <fonts count="19" x14ac:knownFonts="1">
    <font>
      <sz val="11"/>
      <color theme="1"/>
      <name val="Calibri"/>
      <family val="2"/>
      <scheme val="minor"/>
    </font>
    <font>
      <b/>
      <sz val="22"/>
      <color theme="0"/>
      <name val="Poppins"/>
    </font>
    <font>
      <sz val="11"/>
      <color theme="1"/>
      <name val="Poppins"/>
    </font>
    <font>
      <b/>
      <sz val="11"/>
      <color theme="1"/>
      <name val="Poppins"/>
    </font>
    <font>
      <b/>
      <sz val="14"/>
      <color theme="1"/>
      <name val="Poppins"/>
    </font>
    <font>
      <b/>
      <sz val="16"/>
      <color theme="1"/>
      <name val="Poppins"/>
    </font>
    <font>
      <b/>
      <sz val="11"/>
      <color theme="1"/>
      <name val="Calibri"/>
      <family val="2"/>
      <scheme val="minor"/>
    </font>
    <font>
      <sz val="12"/>
      <color theme="1" tint="0.34998626667073579"/>
      <name val="Poppins"/>
    </font>
    <font>
      <sz val="12"/>
      <color theme="1"/>
      <name val="Poppins"/>
    </font>
    <font>
      <b/>
      <sz val="11"/>
      <color rgb="FF00B050"/>
      <name val="Poppins"/>
    </font>
    <font>
      <b/>
      <sz val="20"/>
      <color theme="2" tint="-0.749992370372631"/>
      <name val="Poppins"/>
    </font>
    <font>
      <sz val="16"/>
      <color theme="1"/>
      <name val="Calibri"/>
      <family val="2"/>
      <scheme val="minor"/>
    </font>
    <font>
      <b/>
      <sz val="12"/>
      <color theme="1"/>
      <name val="Poppins"/>
    </font>
    <font>
      <b/>
      <sz val="22"/>
      <color rgb="FFFFC000"/>
      <name val="Poppins"/>
    </font>
    <font>
      <b/>
      <sz val="11"/>
      <color theme="0"/>
      <name val="Poppins"/>
    </font>
    <font>
      <b/>
      <sz val="18"/>
      <color theme="1"/>
      <name val="Poppins"/>
    </font>
    <font>
      <sz val="10"/>
      <color theme="1"/>
      <name val="Poppins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9" tint="0.39997558519241921"/>
      </left>
      <right style="thin">
        <color theme="4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14" fontId="2" fillId="0" borderId="0" xfId="0" applyNumberFormat="1" applyFont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Border="1" applyAlignment="1">
      <alignment horizontal="center" vertical="center"/>
    </xf>
    <xf numFmtId="0" fontId="0" fillId="0" borderId="0" xfId="0"/>
    <xf numFmtId="164" fontId="0" fillId="0" borderId="0" xfId="0" applyNumberFormat="1"/>
    <xf numFmtId="0" fontId="0" fillId="4" borderId="0" xfId="0" applyFill="1"/>
    <xf numFmtId="0" fontId="8" fillId="4" borderId="2" xfId="0" applyFont="1" applyFill="1" applyBorder="1"/>
    <xf numFmtId="0" fontId="8" fillId="4" borderId="3" xfId="0" applyFont="1" applyFill="1" applyBorder="1"/>
    <xf numFmtId="0" fontId="0" fillId="4" borderId="0" xfId="0" applyFill="1" applyAlignment="1">
      <alignment horizontal="center"/>
    </xf>
    <xf numFmtId="0" fontId="10" fillId="4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4" borderId="0" xfId="0" applyFont="1" applyFill="1" applyAlignment="1"/>
    <xf numFmtId="0" fontId="10" fillId="4" borderId="0" xfId="0" applyFont="1" applyFill="1" applyAlignment="1">
      <alignment vertical="top"/>
    </xf>
    <xf numFmtId="0" fontId="7" fillId="5" borderId="0" xfId="0" applyFont="1" applyFill="1" applyBorder="1" applyAlignment="1">
      <alignment horizontal="center" vertical="top"/>
    </xf>
    <xf numFmtId="0" fontId="7" fillId="5" borderId="2" xfId="0" applyFont="1" applyFill="1" applyBorder="1" applyAlignment="1">
      <alignment horizontal="center" vertical="top"/>
    </xf>
    <xf numFmtId="0" fontId="0" fillId="4" borderId="0" xfId="0" applyFill="1" applyAlignment="1">
      <alignment vertical="top"/>
    </xf>
    <xf numFmtId="0" fontId="11" fillId="4" borderId="0" xfId="0" applyFont="1" applyFill="1"/>
    <xf numFmtId="0" fontId="10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  <xf numFmtId="1" fontId="0" fillId="0" borderId="0" xfId="0" applyNumberFormat="1"/>
    <xf numFmtId="0" fontId="2" fillId="0" borderId="0" xfId="0" applyFont="1" applyAlignment="1">
      <alignment horizontal="center"/>
    </xf>
    <xf numFmtId="0" fontId="8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12" fillId="7" borderId="8" xfId="0" applyFont="1" applyFill="1" applyBorder="1" applyAlignment="1">
      <alignment horizontal="center"/>
    </xf>
    <xf numFmtId="0" fontId="14" fillId="9" borderId="0" xfId="0" applyFont="1" applyFill="1" applyBorder="1" applyAlignment="1">
      <alignment horizontal="center" vertical="center"/>
    </xf>
    <xf numFmtId="165" fontId="14" fillId="9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0" fillId="0" borderId="9" xfId="0" applyNumberFormat="1" applyFont="1" applyBorder="1"/>
    <xf numFmtId="0" fontId="3" fillId="14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15" borderId="6" xfId="0" applyFont="1" applyFill="1" applyBorder="1" applyAlignment="1">
      <alignment horizontal="center" vertical="center"/>
    </xf>
    <xf numFmtId="0" fontId="2" fillId="15" borderId="6" xfId="0" applyFont="1" applyFill="1" applyBorder="1"/>
    <xf numFmtId="0" fontId="14" fillId="11" borderId="6" xfId="0" applyFont="1" applyFill="1" applyBorder="1" applyAlignment="1">
      <alignment horizontal="center" vertical="center"/>
    </xf>
    <xf numFmtId="1" fontId="14" fillId="11" borderId="6" xfId="0" applyNumberFormat="1" applyFont="1" applyFill="1" applyBorder="1" applyAlignment="1">
      <alignment horizontal="center" vertical="center"/>
    </xf>
    <xf numFmtId="0" fontId="3" fillId="18" borderId="6" xfId="0" applyFont="1" applyFill="1" applyBorder="1" applyAlignment="1">
      <alignment horizontal="center" vertical="center"/>
    </xf>
    <xf numFmtId="0" fontId="2" fillId="18" borderId="6" xfId="0" applyFont="1" applyFill="1" applyBorder="1" applyAlignment="1">
      <alignment horizontal="center" vertical="center"/>
    </xf>
    <xf numFmtId="0" fontId="2" fillId="17" borderId="6" xfId="0" applyFont="1" applyFill="1" applyBorder="1" applyAlignment="1">
      <alignment horizontal="center" vertical="center"/>
    </xf>
    <xf numFmtId="0" fontId="2" fillId="17" borderId="6" xfId="0" applyFont="1" applyFill="1" applyBorder="1" applyAlignment="1">
      <alignment horizontal="center"/>
    </xf>
    <xf numFmtId="0" fontId="3" fillId="17" borderId="6" xfId="0" applyFont="1" applyFill="1" applyBorder="1" applyAlignment="1">
      <alignment horizontal="center" vertical="center"/>
    </xf>
    <xf numFmtId="0" fontId="2" fillId="17" borderId="6" xfId="0" applyFont="1" applyFill="1" applyBorder="1" applyAlignment="1">
      <alignment horizontal="center" vertical="center" wrapText="1"/>
    </xf>
    <xf numFmtId="0" fontId="16" fillId="17" borderId="6" xfId="0" applyFont="1" applyFill="1" applyBorder="1" applyAlignment="1">
      <alignment horizontal="center" vertical="center"/>
    </xf>
    <xf numFmtId="0" fontId="2" fillId="19" borderId="6" xfId="0" applyFont="1" applyFill="1" applyBorder="1" applyAlignment="1">
      <alignment horizontal="center" vertical="center"/>
    </xf>
    <xf numFmtId="0" fontId="0" fillId="12" borderId="9" xfId="0" applyNumberFormat="1" applyFont="1" applyFill="1" applyBorder="1"/>
    <xf numFmtId="0" fontId="0" fillId="0" borderId="9" xfId="0" applyNumberFormat="1" applyFont="1" applyBorder="1" applyAlignment="1">
      <alignment horizontal="center" vertical="center"/>
    </xf>
    <xf numFmtId="0" fontId="0" fillId="10" borderId="13" xfId="0" applyNumberFormat="1" applyFont="1" applyFill="1" applyBorder="1"/>
    <xf numFmtId="0" fontId="6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4" borderId="0" xfId="0" applyFont="1" applyFill="1" applyBorder="1"/>
    <xf numFmtId="0" fontId="9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vertical="top"/>
    </xf>
    <xf numFmtId="0" fontId="0" fillId="4" borderId="0" xfId="0" applyFill="1" applyBorder="1" applyAlignment="1">
      <alignment horizontal="center"/>
    </xf>
    <xf numFmtId="0" fontId="7" fillId="4" borderId="0" xfId="0" applyFont="1" applyFill="1" applyBorder="1" applyAlignment="1">
      <alignment horizontal="center" vertical="top"/>
    </xf>
    <xf numFmtId="0" fontId="10" fillId="20" borderId="0" xfId="0" applyFont="1" applyFill="1" applyAlignment="1">
      <alignment vertical="center"/>
    </xf>
    <xf numFmtId="0" fontId="0" fillId="4" borderId="0" xfId="0" applyFill="1" applyBorder="1"/>
    <xf numFmtId="0" fontId="17" fillId="4" borderId="0" xfId="0" applyFont="1" applyFill="1" applyBorder="1" applyAlignment="1">
      <alignment vertical="center"/>
    </xf>
    <xf numFmtId="0" fontId="18" fillId="4" borderId="0" xfId="0" applyFont="1" applyFill="1" applyBorder="1" applyAlignment="1">
      <alignment vertical="center"/>
    </xf>
    <xf numFmtId="0" fontId="6" fillId="4" borderId="0" xfId="0" applyFont="1" applyFill="1" applyBorder="1"/>
    <xf numFmtId="0" fontId="0" fillId="4" borderId="0" xfId="0" applyFill="1" applyBorder="1" applyAlignment="1">
      <alignment horizontal="left" vertical="center" indent="1"/>
    </xf>
    <xf numFmtId="0" fontId="7" fillId="5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/>
    </xf>
    <xf numFmtId="0" fontId="9" fillId="4" borderId="5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3" fillId="14" borderId="6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3" fillId="17" borderId="12" xfId="0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5" fillId="16" borderId="11" xfId="0" applyFont="1" applyFill="1" applyBorder="1" applyAlignment="1">
      <alignment horizontal="center" vertical="center"/>
    </xf>
    <xf numFmtId="0" fontId="15" fillId="13" borderId="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yyyy\-mm\-dd\ hh:mm:ss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datasteroid.wordpress.com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datasteroid.wordpres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6</xdr:row>
      <xdr:rowOff>201930</xdr:rowOff>
    </xdr:from>
    <xdr:to>
      <xdr:col>8</xdr:col>
      <xdr:colOff>91440</xdr:colOff>
      <xdr:row>9</xdr:row>
      <xdr:rowOff>76200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B30F31E4-B548-419B-B662-9784894E3FDC}"/>
            </a:ext>
          </a:extLst>
        </xdr:cNvPr>
        <xdr:cNvSpPr/>
      </xdr:nvSpPr>
      <xdr:spPr>
        <a:xfrm rot="5400000">
          <a:off x="3587115" y="1895475"/>
          <a:ext cx="1017270" cy="1226820"/>
        </a:xfrm>
        <a:prstGeom prst="upArrow">
          <a:avLst/>
        </a:prstGeom>
        <a:solidFill>
          <a:schemeClr val="bg2">
            <a:lumMod val="90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30480</xdr:colOff>
      <xdr:row>7</xdr:row>
      <xdr:rowOff>91440</xdr:rowOff>
    </xdr:from>
    <xdr:to>
      <xdr:col>7</xdr:col>
      <xdr:colOff>571500</xdr:colOff>
      <xdr:row>8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35C88E-F91B-42A5-A1B8-B1714131F4D5}"/>
            </a:ext>
          </a:extLst>
        </xdr:cNvPr>
        <xdr:cNvSpPr txBox="1"/>
      </xdr:nvSpPr>
      <xdr:spPr>
        <a:xfrm>
          <a:off x="3429000" y="2270760"/>
          <a:ext cx="115062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Poppins" panose="00000500000000000000" pitchFamily="2" charset="0"/>
              <a:cs typeface="Poppins" panose="00000500000000000000" pitchFamily="2" charset="0"/>
            </a:rPr>
            <a:t>PowerQuery</a:t>
          </a:r>
        </a:p>
      </xdr:txBody>
    </xdr:sp>
    <xdr:clientData/>
  </xdr:twoCellAnchor>
  <xdr:twoCellAnchor>
    <xdr:from>
      <xdr:col>16</xdr:col>
      <xdr:colOff>91440</xdr:colOff>
      <xdr:row>6</xdr:row>
      <xdr:rowOff>373380</xdr:rowOff>
    </xdr:from>
    <xdr:to>
      <xdr:col>17</xdr:col>
      <xdr:colOff>335280</xdr:colOff>
      <xdr:row>8</xdr:row>
      <xdr:rowOff>297180</xdr:rowOff>
    </xdr:to>
    <xdr:sp macro="" textlink="">
      <xdr:nvSpPr>
        <xdr:cNvPr id="4" name="Arrow: Up 3">
          <a:extLst>
            <a:ext uri="{FF2B5EF4-FFF2-40B4-BE49-F238E27FC236}">
              <a16:creationId xmlns:a16="http://schemas.microsoft.com/office/drawing/2014/main" id="{471B4CDD-4BE7-48A1-8A38-A01C680B275E}"/>
            </a:ext>
          </a:extLst>
        </xdr:cNvPr>
        <xdr:cNvSpPr/>
      </xdr:nvSpPr>
      <xdr:spPr>
        <a:xfrm rot="5400000">
          <a:off x="9669780" y="2087880"/>
          <a:ext cx="685800" cy="853440"/>
        </a:xfrm>
        <a:prstGeom prst="upArrow">
          <a:avLst/>
        </a:prstGeom>
        <a:solidFill>
          <a:schemeClr val="bg2">
            <a:lumMod val="90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449580</xdr:colOff>
      <xdr:row>0</xdr:row>
      <xdr:rowOff>45720</xdr:rowOff>
    </xdr:from>
    <xdr:to>
      <xdr:col>11</xdr:col>
      <xdr:colOff>15534</xdr:colOff>
      <xdr:row>3</xdr:row>
      <xdr:rowOff>22061</xdr:rowOff>
    </xdr:to>
    <xdr:grpSp>
      <xdr:nvGrpSpPr>
        <xdr:cNvPr id="2" name="Group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E7C66F-106F-4F64-8A57-02D71BE52EB6}"/>
            </a:ext>
          </a:extLst>
        </xdr:cNvPr>
        <xdr:cNvGrpSpPr/>
      </xdr:nvGrpSpPr>
      <xdr:grpSpPr>
        <a:xfrm>
          <a:off x="11643360" y="45720"/>
          <a:ext cx="2613954" cy="745961"/>
          <a:chOff x="11498580" y="45720"/>
          <a:chExt cx="2613954" cy="745961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75C5B170-F22F-46B4-B45C-AD6FC9ACD85E}"/>
              </a:ext>
            </a:extLst>
          </xdr:cNvPr>
          <xdr:cNvSpPr/>
        </xdr:nvSpPr>
        <xdr:spPr>
          <a:xfrm>
            <a:off x="11498580" y="45720"/>
            <a:ext cx="2613954" cy="734743"/>
          </a:xfrm>
          <a:prstGeom prst="roundRect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3" name="Picture 2">
            <a:extLst>
              <a:ext uri="{FF2B5EF4-FFF2-40B4-BE49-F238E27FC236}">
                <a16:creationId xmlns:a16="http://schemas.microsoft.com/office/drawing/2014/main" id="{2CF9D240-B121-4328-AB3E-0DCC2AA2456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493" t="26900" r="-2592" b="43800"/>
          <a:stretch/>
        </xdr:blipFill>
        <xdr:spPr>
          <a:xfrm>
            <a:off x="11612879" y="51874"/>
            <a:ext cx="2485879" cy="739807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10</xdr:col>
      <xdr:colOff>175554</xdr:colOff>
      <xdr:row>2</xdr:row>
      <xdr:rowOff>90641</xdr:rowOff>
    </xdr:to>
    <xdr:grpSp>
      <xdr:nvGrpSpPr>
        <xdr:cNvPr id="5" name="Group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E690-FBF2-434B-9170-BD0112B90DF6}"/>
            </a:ext>
          </a:extLst>
        </xdr:cNvPr>
        <xdr:cNvGrpSpPr/>
      </xdr:nvGrpSpPr>
      <xdr:grpSpPr>
        <a:xfrm>
          <a:off x="11658600" y="0"/>
          <a:ext cx="2613954" cy="745961"/>
          <a:chOff x="11498580" y="45720"/>
          <a:chExt cx="2613954" cy="745961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074F031F-BADA-4354-8496-342BCBAE946B}"/>
              </a:ext>
            </a:extLst>
          </xdr:cNvPr>
          <xdr:cNvSpPr/>
        </xdr:nvSpPr>
        <xdr:spPr>
          <a:xfrm>
            <a:off x="11498580" y="45720"/>
            <a:ext cx="2613954" cy="734743"/>
          </a:xfrm>
          <a:prstGeom prst="roundRect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7" name="Picture 6">
            <a:extLst>
              <a:ext uri="{FF2B5EF4-FFF2-40B4-BE49-F238E27FC236}">
                <a16:creationId xmlns:a16="http://schemas.microsoft.com/office/drawing/2014/main" id="{78801F5D-9F1D-4DFD-A529-EF18682EFFD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493" t="26900" r="-2592" b="43800"/>
          <a:stretch/>
        </xdr:blipFill>
        <xdr:spPr>
          <a:xfrm>
            <a:off x="11612879" y="51874"/>
            <a:ext cx="2485879" cy="739807"/>
          </a:xfrm>
          <a:prstGeom prst="rect">
            <a:avLst/>
          </a:prstGeom>
        </xdr:spPr>
      </xdr:pic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0CB6A1-4C12-402C-8A19-27634C7D71DF}" autoFormatId="16" applyNumberFormats="0" applyBorderFormats="0" applyFontFormats="0" applyPatternFormats="0" applyAlignmentFormats="0" applyWidthHeightFormats="0">
  <queryTableRefresh nextId="12">
    <queryTableFields count="11">
      <queryTableField id="1" name="Emp ID" tableColumnId="1"/>
      <queryTableField id="2" name="Fname" tableColumnId="2"/>
      <queryTableField id="3" name="LName" tableColumnId="3"/>
      <queryTableField id="4" name="Gender" tableColumnId="4"/>
      <queryTableField id="5" name="Department" tableColumnId="5"/>
      <queryTableField id="6" name="Salary" tableColumnId="6"/>
      <queryTableField id="7" name="Start Date" tableColumnId="7"/>
      <queryTableField id="8" name="FTE" tableColumnId="8"/>
      <queryTableField id="9" name="Employee type" tableColumnId="9"/>
      <queryTableField id="10" name="Work location" tableColumnId="10"/>
      <queryTableField id="11" name="Mobile Number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77F3DD-8A81-4B72-9652-A189F11E55F5}" name="Emp" displayName="Emp" ref="A1:K262" tableType="queryTable" totalsRowCount="1">
  <autoFilter ref="A1:K261" xr:uid="{2977F3DD-8A81-4B72-9652-A189F11E55F5}"/>
  <sortState xmlns:xlrd2="http://schemas.microsoft.com/office/spreadsheetml/2017/richdata2" ref="A2:K261">
    <sortCondition descending="1" ref="F1:F261"/>
  </sortState>
  <tableColumns count="11">
    <tableColumn id="1" xr3:uid="{CF0564E2-E3B5-490F-BE3E-8127C59310BD}" uniqueName="1" name="Emp ID" totalsRowLabel="Total" queryTableFieldId="1" dataDxfId="24"/>
    <tableColumn id="2" xr3:uid="{B167E0E1-31DF-46AD-B55D-B9ECE8481537}" uniqueName="2" name="Fname" queryTableFieldId="2" dataDxfId="23"/>
    <tableColumn id="3" xr3:uid="{558E2D66-B70E-42C2-8B39-1ED765F3CCF9}" uniqueName="3" name="LName" queryTableFieldId="3" dataDxfId="22"/>
    <tableColumn id="4" xr3:uid="{843FB5B7-C490-4462-B4F8-B9061782CFF1}" uniqueName="4" name="Gender" queryTableFieldId="4" dataDxfId="21"/>
    <tableColumn id="5" xr3:uid="{255EACAC-9922-4BFE-B922-FFD9DB4109BA}" uniqueName="5" name="Department" queryTableFieldId="5" dataDxfId="20"/>
    <tableColumn id="6" xr3:uid="{D6E600F2-882A-4997-9ED5-2F478A1C6CEB}" uniqueName="6" name="Salary" totalsRowFunction="average" queryTableFieldId="6" totalsRowDxfId="19"/>
    <tableColumn id="7" xr3:uid="{158FB8DD-6CB1-4D99-B9AC-2E8BC3D5D76C}" uniqueName="7" name="Start Date" queryTableFieldId="7" dataDxfId="18"/>
    <tableColumn id="8" xr3:uid="{8B0E49C6-7FC2-4C29-9262-183126DFDC75}" uniqueName="8" name="FTE" queryTableFieldId="8"/>
    <tableColumn id="9" xr3:uid="{26649B73-A083-46B5-BE7F-1344FDDB625E}" uniqueName="9" name="Employee type" queryTableFieldId="9" dataDxfId="17"/>
    <tableColumn id="10" xr3:uid="{A1A0DB23-5D97-4DC8-A14C-A21FE339EE97}" uniqueName="10" name="Work location" queryTableFieldId="10" dataDxfId="16"/>
    <tableColumn id="11" xr3:uid="{7060E8FB-177D-44F7-844C-06EF663EF995}" uniqueName="11" name="Mobile Number" totalsRowFunction="count" queryTableFieldId="11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863179-21FB-4C3C-B83A-15BBF32DF3F4}" name="HLOOK" displayName="HLOOK" ref="A267:E269" totalsRowShown="0">
  <autoFilter ref="A267:E269" xr:uid="{94863179-21FB-4C3C-B83A-15BBF32DF3F4}"/>
  <tableColumns count="5">
    <tableColumn id="1" xr3:uid="{4627531C-3DEE-4C7D-94C5-9E002A1B585B}" name="C1"/>
    <tableColumn id="2" xr3:uid="{EF336525-CB8E-4430-8D58-95E67D56B38A}" name="C2"/>
    <tableColumn id="3" xr3:uid="{5E9B8671-043B-4742-85D6-0E00BEEDB25E}" name="C3"/>
    <tableColumn id="4" xr3:uid="{BFC0B0B9-F8C7-44F8-847E-96A44C361087}" name="C4"/>
    <tableColumn id="5" xr3:uid="{78243AB5-B3AB-4CF9-BA8E-339F72D0C969}" name="C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BAABC2-142C-4675-9DF5-85FE7C653F31}" name="Table1" displayName="Table1" ref="A1:J277" totalsRowShown="0" headerRowDxfId="14" headerRowBorderDxfId="13" tableBorderDxfId="12">
  <autoFilter ref="A1:J277" xr:uid="{DEBAABC2-142C-4675-9DF5-85FE7C653F31}"/>
  <tableColumns count="10">
    <tableColumn id="1" xr3:uid="{59AB3788-892D-4808-BE9D-827FEF7F6696}" name="Emp ID"/>
    <tableColumn id="2" xr3:uid="{67396E4B-F826-431E-8C47-227DF6340F33}" name="Name"/>
    <tableColumn id="3" xr3:uid="{F7B05A3D-E62D-4DDB-9FE7-B7B3116C023F}" name="Gender"/>
    <tableColumn id="4" xr3:uid="{0D5BB654-408A-4F4A-BAB1-FC2318F2BBA7}" name="Department"/>
    <tableColumn id="5" xr3:uid="{4EBCBD99-422D-4254-9E9A-65A546FCFEB8}" name="Salary"/>
    <tableColumn id="6" xr3:uid="{0A582ACB-48CE-4CF5-A93A-7CFA29035086}" name="Start Date" dataDxfId="11"/>
    <tableColumn id="7" xr3:uid="{9467E7FF-752A-49CC-B8B8-B60742998451}" name="FTE"/>
    <tableColumn id="8" xr3:uid="{78BAC7E5-FFF7-4D6D-B723-6441ABA1EB5F}" name="Employee type"/>
    <tableColumn id="9" xr3:uid="{716CF549-8019-49AF-982A-497FAB895E1C}" name="Work location"/>
    <tableColumn id="10" xr3:uid="{5C377812-5CC4-45C1-A77C-21F3690C2C5A}" name="Mobile Numb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708179-3092-43BF-813D-16976A8BEDF3}" name="Sales" displayName="Sales" ref="A1:G1001" totalsRowShown="0" headerRowDxfId="10" dataDxfId="8" headerRowBorderDxfId="9" tableBorderDxfId="7">
  <autoFilter ref="A1:G1001" xr:uid="{B1708179-3092-43BF-813D-16976A8BEDF3}"/>
  <tableColumns count="7">
    <tableColumn id="1" xr3:uid="{4A6DE4B8-EA42-40B8-A47E-F176DC7B5E8D}" name="Product" dataDxfId="6"/>
    <tableColumn id="2" xr3:uid="{CFD02188-E028-4B0C-B221-FCFBCF631077}" name="Region" dataDxfId="5"/>
    <tableColumn id="3" xr3:uid="{5A1A3AB1-81BB-4EDD-82C9-E74F957D7F05}" name="Employee" dataDxfId="4"/>
    <tableColumn id="4" xr3:uid="{01AE35CC-AC7E-4676-B91F-1E11BFCF0D20}" name="Month" dataDxfId="3"/>
    <tableColumn id="5" xr3:uid="{728D6C83-69B8-4EE4-B9BC-55C5A1C4FC4E}" name="Quantity" dataDxfId="2"/>
    <tableColumn id="6" xr3:uid="{BF900860-9E11-4E5B-8DD5-42D398D16704}" name="Price" dataDxfId="1"/>
    <tableColumn id="7" xr3:uid="{9F6DAD8D-FB66-4FBE-88DD-F6F2C95E9730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4EC2-1DEF-4826-88E6-0A6766F4FEBB}">
  <dimension ref="A1:Y16"/>
  <sheetViews>
    <sheetView workbookViewId="0">
      <selection activeCell="Y4" sqref="Y4"/>
    </sheetView>
  </sheetViews>
  <sheetFormatPr defaultRowHeight="20.399999999999999" x14ac:dyDescent="0.3"/>
  <cols>
    <col min="1" max="1" width="4.21875" style="1" customWidth="1"/>
    <col min="2" max="5" width="8.88671875" style="1"/>
    <col min="6" max="6" width="9.77734375" style="1" customWidth="1"/>
    <col min="7" max="8" width="8.88671875" style="1"/>
    <col min="9" max="9" width="2.21875" style="1" customWidth="1"/>
    <col min="10" max="10" width="5" style="1" customWidth="1"/>
    <col min="11" max="15" width="8.88671875" style="1"/>
    <col min="16" max="16" width="10.33203125" style="1" bestFit="1" customWidth="1"/>
    <col min="17" max="17" width="8.88671875" style="1"/>
    <col min="18" max="18" width="5.6640625" style="1" customWidth="1"/>
    <col min="19" max="19" width="5.88671875" style="1" customWidth="1"/>
    <col min="20" max="16384" width="8.88671875" style="1"/>
  </cols>
  <sheetData>
    <row r="1" spans="1:25" ht="20.399999999999999" customHeight="1" x14ac:dyDescent="0.3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</row>
    <row r="2" spans="1:25" ht="20.399999999999999" customHeight="1" x14ac:dyDescent="0.3">
      <c r="A2" s="73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</row>
    <row r="3" spans="1:25" ht="20.399999999999999" customHeight="1" x14ac:dyDescent="0.3">
      <c r="A3" s="73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</row>
    <row r="4" spans="1:25" s="6" customFormat="1" ht="20.399999999999999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5" ht="30" customHeight="1" x14ac:dyDescent="0.3">
      <c r="A5" s="71" t="s">
        <v>1</v>
      </c>
      <c r="B5" s="71"/>
      <c r="C5" s="71"/>
      <c r="D5" s="71"/>
      <c r="E5" s="71"/>
      <c r="F5" s="71"/>
      <c r="G5" s="3"/>
      <c r="J5" s="71" t="s">
        <v>978</v>
      </c>
      <c r="K5" s="71"/>
      <c r="L5" s="71"/>
      <c r="M5" s="71"/>
      <c r="N5" s="71"/>
      <c r="O5" s="71"/>
      <c r="P5" s="71"/>
      <c r="S5" s="71" t="s">
        <v>1574</v>
      </c>
      <c r="T5" s="71"/>
      <c r="U5" s="71"/>
      <c r="V5" s="71"/>
      <c r="W5" s="71"/>
      <c r="X5" s="71"/>
    </row>
    <row r="6" spans="1:25" ht="30" customHeight="1" x14ac:dyDescent="0.3">
      <c r="A6" s="71" t="s">
        <v>980</v>
      </c>
      <c r="B6" s="71"/>
      <c r="C6" s="71"/>
      <c r="D6" s="71"/>
      <c r="E6" s="71"/>
      <c r="F6" s="71"/>
      <c r="G6" s="3"/>
      <c r="J6" s="71" t="s">
        <v>979</v>
      </c>
      <c r="K6" s="71"/>
      <c r="L6" s="71"/>
      <c r="M6" s="71"/>
      <c r="N6" s="71"/>
      <c r="O6" s="71"/>
      <c r="P6" s="71"/>
      <c r="S6" s="71" t="s">
        <v>1575</v>
      </c>
      <c r="T6" s="71"/>
      <c r="U6" s="71"/>
      <c r="V6" s="71"/>
      <c r="W6" s="71"/>
      <c r="X6" s="71"/>
    </row>
    <row r="7" spans="1:25" ht="30" customHeight="1" x14ac:dyDescent="0.3">
      <c r="A7" s="7">
        <v>1</v>
      </c>
      <c r="B7" s="72" t="s">
        <v>2</v>
      </c>
      <c r="C7" s="72"/>
      <c r="D7" s="72"/>
      <c r="E7" s="72"/>
      <c r="F7" s="72"/>
      <c r="G7" s="3"/>
      <c r="J7" s="7">
        <v>1</v>
      </c>
      <c r="K7" s="36" t="s">
        <v>1550</v>
      </c>
      <c r="L7" s="36"/>
      <c r="M7" s="36"/>
      <c r="N7" s="36"/>
      <c r="O7" s="36"/>
      <c r="P7" s="36"/>
      <c r="S7" s="7">
        <v>1</v>
      </c>
      <c r="T7" s="36" t="s">
        <v>1576</v>
      </c>
      <c r="U7" s="36"/>
      <c r="V7" s="36"/>
      <c r="W7" s="36"/>
      <c r="X7" s="36"/>
    </row>
    <row r="8" spans="1:25" ht="30" customHeight="1" x14ac:dyDescent="0.3">
      <c r="A8" s="7">
        <v>2</v>
      </c>
      <c r="B8" s="72" t="s">
        <v>6</v>
      </c>
      <c r="C8" s="72"/>
      <c r="D8" s="72"/>
      <c r="E8" s="72"/>
      <c r="F8" s="72"/>
      <c r="G8" s="3"/>
      <c r="J8" s="7">
        <v>2</v>
      </c>
      <c r="K8" s="36" t="s">
        <v>1551</v>
      </c>
      <c r="L8" s="36"/>
      <c r="M8" s="36"/>
      <c r="N8" s="36"/>
      <c r="O8" s="36"/>
      <c r="P8" s="36"/>
      <c r="S8" s="7">
        <v>2</v>
      </c>
      <c r="T8" s="36" t="s">
        <v>1577</v>
      </c>
      <c r="U8" s="36"/>
      <c r="V8" s="36"/>
      <c r="W8" s="36"/>
      <c r="X8" s="36"/>
    </row>
    <row r="9" spans="1:25" ht="30" customHeight="1" x14ac:dyDescent="0.3">
      <c r="A9" s="7">
        <v>3</v>
      </c>
      <c r="B9" s="72" t="s">
        <v>7</v>
      </c>
      <c r="C9" s="72"/>
      <c r="D9" s="72"/>
      <c r="E9" s="72"/>
      <c r="F9" s="72"/>
      <c r="G9" s="3"/>
      <c r="J9" s="7">
        <v>3</v>
      </c>
      <c r="K9" s="36" t="s">
        <v>1549</v>
      </c>
      <c r="L9" s="36"/>
      <c r="M9" s="36"/>
      <c r="N9" s="36"/>
      <c r="O9" s="36"/>
      <c r="P9" s="36"/>
      <c r="S9" s="7">
        <v>3</v>
      </c>
      <c r="T9" s="36" t="s">
        <v>1578</v>
      </c>
      <c r="U9" s="36"/>
      <c r="V9" s="36"/>
      <c r="W9" s="36"/>
      <c r="X9" s="36"/>
    </row>
    <row r="10" spans="1:25" ht="30" customHeight="1" x14ac:dyDescent="0.3">
      <c r="A10" s="7">
        <v>4</v>
      </c>
      <c r="B10" s="72" t="s">
        <v>3</v>
      </c>
      <c r="C10" s="72"/>
      <c r="D10" s="72"/>
      <c r="E10" s="72"/>
      <c r="F10" s="72"/>
      <c r="G10" s="3"/>
      <c r="J10" s="7">
        <v>4</v>
      </c>
      <c r="K10" s="36" t="s">
        <v>981</v>
      </c>
      <c r="L10" s="36"/>
      <c r="M10" s="36"/>
      <c r="N10" s="36"/>
      <c r="O10" s="36"/>
      <c r="P10" s="36"/>
      <c r="S10" s="7">
        <v>4</v>
      </c>
      <c r="T10" s="36" t="s">
        <v>1579</v>
      </c>
      <c r="U10" s="36"/>
      <c r="V10" s="36"/>
      <c r="W10" s="36"/>
      <c r="X10" s="36"/>
    </row>
    <row r="11" spans="1:25" ht="30" customHeight="1" x14ac:dyDescent="0.3">
      <c r="A11" s="7">
        <v>5</v>
      </c>
      <c r="B11" s="72" t="s">
        <v>4</v>
      </c>
      <c r="C11" s="72"/>
      <c r="D11" s="72"/>
      <c r="E11" s="72"/>
      <c r="F11" s="72"/>
      <c r="G11" s="3"/>
      <c r="J11" s="7">
        <v>5</v>
      </c>
      <c r="K11" s="36" t="s">
        <v>982</v>
      </c>
      <c r="L11" s="36"/>
      <c r="M11" s="36"/>
      <c r="N11" s="36"/>
      <c r="O11" s="36"/>
      <c r="P11" s="36"/>
      <c r="S11" s="7">
        <v>5</v>
      </c>
      <c r="T11" s="36" t="s">
        <v>1580</v>
      </c>
      <c r="U11" s="36"/>
      <c r="V11" s="36"/>
      <c r="W11" s="36"/>
      <c r="X11" s="36"/>
    </row>
    <row r="12" spans="1:25" ht="30" customHeight="1" x14ac:dyDescent="0.3">
      <c r="A12" s="7">
        <v>6</v>
      </c>
      <c r="B12" s="75" t="s">
        <v>5</v>
      </c>
      <c r="C12" s="75"/>
      <c r="D12" s="75"/>
      <c r="E12" s="75"/>
      <c r="F12" s="75"/>
      <c r="J12" s="7">
        <v>6</v>
      </c>
      <c r="K12" s="37" t="s">
        <v>983</v>
      </c>
      <c r="L12" s="37"/>
      <c r="M12" s="37"/>
      <c r="N12" s="37"/>
      <c r="O12" s="37"/>
      <c r="P12" s="37"/>
      <c r="S12" s="7">
        <v>6</v>
      </c>
      <c r="T12" s="37" t="s">
        <v>1581</v>
      </c>
      <c r="U12" s="37"/>
      <c r="V12" s="37"/>
      <c r="W12" s="37"/>
      <c r="X12" s="37"/>
    </row>
    <row r="13" spans="1:25" x14ac:dyDescent="0.3">
      <c r="A13" s="2"/>
    </row>
    <row r="14" spans="1:25" x14ac:dyDescent="0.3">
      <c r="A14" s="2"/>
    </row>
    <row r="15" spans="1:25" x14ac:dyDescent="0.3">
      <c r="A15" s="2"/>
    </row>
    <row r="16" spans="1:25" x14ac:dyDescent="0.3">
      <c r="P16" s="4"/>
    </row>
  </sheetData>
  <mergeCells count="13">
    <mergeCell ref="B11:F11"/>
    <mergeCell ref="B12:F12"/>
    <mergeCell ref="B7:F7"/>
    <mergeCell ref="B8:F8"/>
    <mergeCell ref="B9:F9"/>
    <mergeCell ref="A6:F6"/>
    <mergeCell ref="B10:F10"/>
    <mergeCell ref="A1:Y3"/>
    <mergeCell ref="J5:P5"/>
    <mergeCell ref="J6:P6"/>
    <mergeCell ref="S5:X5"/>
    <mergeCell ref="S6:X6"/>
    <mergeCell ref="A5:F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26E6-9344-4CE9-9635-F8534DFC459D}">
  <dimension ref="A1:E17"/>
  <sheetViews>
    <sheetView topLeftCell="B1" workbookViewId="0">
      <selection activeCell="I7" sqref="I7"/>
    </sheetView>
  </sheetViews>
  <sheetFormatPr defaultRowHeight="14.4" x14ac:dyDescent="0.3"/>
  <cols>
    <col min="1" max="2" width="2.109375" style="10" customWidth="1"/>
    <col min="3" max="3" width="4.109375" style="20" bestFit="1" customWidth="1"/>
    <col min="4" max="4" width="112.44140625" style="10" customWidth="1"/>
    <col min="5" max="5" width="33.5546875" style="13" customWidth="1"/>
    <col min="6" max="16384" width="8.88671875" style="10"/>
  </cols>
  <sheetData>
    <row r="1" spans="1:5" s="14" customFormat="1" ht="29.4" customHeight="1" x14ac:dyDescent="1.3">
      <c r="A1" s="15"/>
      <c r="B1" s="15"/>
      <c r="C1" s="17" t="s">
        <v>992</v>
      </c>
      <c r="D1" s="16"/>
      <c r="E1" s="22"/>
    </row>
    <row r="2" spans="1:5" s="14" customFormat="1" ht="22.2" customHeight="1" x14ac:dyDescent="0.3">
      <c r="C2" s="17"/>
      <c r="E2" s="22"/>
    </row>
    <row r="3" spans="1:5" ht="9" customHeight="1" x14ac:dyDescent="0.3"/>
    <row r="4" spans="1:5" s="21" customFormat="1" ht="22.8" customHeight="1" x14ac:dyDescent="0.9">
      <c r="C4" s="76" t="s">
        <v>984</v>
      </c>
      <c r="D4" s="76"/>
      <c r="E4" s="23" t="s">
        <v>993</v>
      </c>
    </row>
    <row r="5" spans="1:5" ht="25.05" customHeight="1" x14ac:dyDescent="0.85">
      <c r="C5" s="18">
        <v>1</v>
      </c>
      <c r="D5" s="11" t="s">
        <v>985</v>
      </c>
      <c r="E5" s="24" t="s">
        <v>994</v>
      </c>
    </row>
    <row r="6" spans="1:5" ht="25.05" customHeight="1" x14ac:dyDescent="0.85">
      <c r="C6" s="18">
        <v>2</v>
      </c>
      <c r="D6" s="12" t="s">
        <v>1538</v>
      </c>
      <c r="E6" s="77" t="s">
        <v>1539</v>
      </c>
    </row>
    <row r="7" spans="1:5" ht="25.05" customHeight="1" x14ac:dyDescent="0.85">
      <c r="C7" s="18">
        <v>3</v>
      </c>
      <c r="D7" s="11" t="s">
        <v>991</v>
      </c>
      <c r="E7" s="78"/>
    </row>
    <row r="8" spans="1:5" ht="25.05" customHeight="1" x14ac:dyDescent="0.85">
      <c r="C8" s="18">
        <v>4</v>
      </c>
      <c r="D8" s="12" t="s">
        <v>986</v>
      </c>
      <c r="E8" s="25" t="s">
        <v>995</v>
      </c>
    </row>
    <row r="9" spans="1:5" ht="25.05" customHeight="1" x14ac:dyDescent="0.85">
      <c r="C9" s="18">
        <v>5</v>
      </c>
      <c r="D9" s="12" t="s">
        <v>987</v>
      </c>
      <c r="E9" s="25" t="s">
        <v>996</v>
      </c>
    </row>
    <row r="10" spans="1:5" ht="25.05" customHeight="1" x14ac:dyDescent="0.85">
      <c r="C10" s="18">
        <v>6</v>
      </c>
      <c r="D10" s="11" t="s">
        <v>988</v>
      </c>
      <c r="E10" s="25" t="s">
        <v>997</v>
      </c>
    </row>
    <row r="11" spans="1:5" ht="25.05" customHeight="1" x14ac:dyDescent="0.85">
      <c r="C11" s="18">
        <v>7</v>
      </c>
      <c r="D11" s="11" t="s">
        <v>1541</v>
      </c>
      <c r="E11" s="25" t="s">
        <v>998</v>
      </c>
    </row>
    <row r="12" spans="1:5" ht="25.05" customHeight="1" x14ac:dyDescent="0.85">
      <c r="C12" s="18">
        <v>8</v>
      </c>
      <c r="D12" s="12" t="s">
        <v>989</v>
      </c>
      <c r="E12" s="25" t="s">
        <v>1542</v>
      </c>
    </row>
    <row r="13" spans="1:5" ht="25.05" customHeight="1" x14ac:dyDescent="0.85">
      <c r="C13" s="18">
        <v>9</v>
      </c>
      <c r="D13" s="12" t="s">
        <v>1545</v>
      </c>
      <c r="E13" s="25" t="s">
        <v>1543</v>
      </c>
    </row>
    <row r="14" spans="1:5" ht="25.05" customHeight="1" x14ac:dyDescent="0.85">
      <c r="C14" s="18">
        <v>10</v>
      </c>
      <c r="D14" s="12" t="s">
        <v>1547</v>
      </c>
      <c r="E14" s="25" t="s">
        <v>999</v>
      </c>
    </row>
    <row r="15" spans="1:5" ht="25.05" customHeight="1" x14ac:dyDescent="0.85">
      <c r="C15" s="18">
        <v>11</v>
      </c>
      <c r="D15" s="12" t="s">
        <v>1546</v>
      </c>
      <c r="E15" s="25" t="s">
        <v>1544</v>
      </c>
    </row>
    <row r="16" spans="1:5" ht="25.05" customHeight="1" x14ac:dyDescent="0.85">
      <c r="C16" s="18">
        <v>12</v>
      </c>
      <c r="D16" s="12" t="s">
        <v>1548</v>
      </c>
      <c r="E16" s="25" t="s">
        <v>1000</v>
      </c>
    </row>
    <row r="17" spans="3:5" ht="25.05" customHeight="1" x14ac:dyDescent="0.85">
      <c r="C17" s="19">
        <v>13</v>
      </c>
      <c r="D17" s="12" t="s">
        <v>990</v>
      </c>
      <c r="E17" s="25" t="s">
        <v>1001</v>
      </c>
    </row>
  </sheetData>
  <mergeCells count="2">
    <mergeCell ref="C4:D4"/>
    <mergeCell ref="E6:E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9F46-C59C-422D-A244-34227FF74CEB}">
  <dimension ref="A1:K269"/>
  <sheetViews>
    <sheetView workbookViewId="0">
      <selection activeCell="E268" sqref="E268"/>
    </sheetView>
  </sheetViews>
  <sheetFormatPr defaultRowHeight="14.4" x14ac:dyDescent="0.3"/>
  <cols>
    <col min="1" max="1" width="9.44140625" bestFit="1" customWidth="1"/>
    <col min="2" max="2" width="10.44140625" bestFit="1" customWidth="1"/>
    <col min="3" max="3" width="10.6640625" bestFit="1" customWidth="1"/>
    <col min="4" max="4" width="9.33203125" bestFit="1" customWidth="1"/>
    <col min="5" max="5" width="15.77734375" bestFit="1" customWidth="1"/>
    <col min="6" max="6" width="10" style="29" bestFit="1" customWidth="1"/>
    <col min="7" max="7" width="11.5546875" bestFit="1" customWidth="1"/>
    <col min="8" max="8" width="6.109375" bestFit="1" customWidth="1"/>
    <col min="9" max="9" width="15.88671875" bestFit="1" customWidth="1"/>
    <col min="10" max="10" width="15" bestFit="1" customWidth="1"/>
    <col min="11" max="11" width="21.33203125" bestFit="1" customWidth="1"/>
    <col min="16" max="20" width="10.44140625" customWidth="1"/>
  </cols>
  <sheetData>
    <row r="1" spans="1:11" x14ac:dyDescent="0.3">
      <c r="A1" t="s">
        <v>9</v>
      </c>
      <c r="B1" t="s">
        <v>1004</v>
      </c>
      <c r="C1" t="s">
        <v>1005</v>
      </c>
      <c r="D1" t="s">
        <v>10</v>
      </c>
      <c r="E1" t="s">
        <v>11</v>
      </c>
      <c r="F1" s="29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 x14ac:dyDescent="0.3">
      <c r="A2" s="27" t="s">
        <v>18</v>
      </c>
      <c r="B2" s="27" t="s">
        <v>1006</v>
      </c>
      <c r="C2" s="27" t="s">
        <v>1007</v>
      </c>
      <c r="D2" s="27" t="s">
        <v>20</v>
      </c>
      <c r="E2" s="27" t="s">
        <v>21</v>
      </c>
      <c r="F2" s="8">
        <v>120000</v>
      </c>
      <c r="G2" s="28">
        <v>43416</v>
      </c>
      <c r="H2" s="8">
        <v>1</v>
      </c>
      <c r="I2" s="27" t="s">
        <v>23</v>
      </c>
      <c r="J2" s="27" t="s">
        <v>24</v>
      </c>
      <c r="K2" s="27" t="s">
        <v>1008</v>
      </c>
    </row>
    <row r="3" spans="1:11" x14ac:dyDescent="0.3">
      <c r="A3" s="27" t="s">
        <v>32</v>
      </c>
      <c r="B3" s="27" t="s">
        <v>1012</v>
      </c>
      <c r="C3" s="27" t="s">
        <v>1013</v>
      </c>
      <c r="D3" s="27" t="s">
        <v>28</v>
      </c>
      <c r="E3" s="27" t="s">
        <v>34</v>
      </c>
      <c r="F3" s="29">
        <v>120000</v>
      </c>
      <c r="G3" s="28">
        <v>43902</v>
      </c>
      <c r="H3" s="8">
        <v>0.9</v>
      </c>
      <c r="I3" s="27" t="s">
        <v>23</v>
      </c>
      <c r="J3" s="27" t="s">
        <v>35</v>
      </c>
      <c r="K3" s="27" t="s">
        <v>1014</v>
      </c>
    </row>
    <row r="4" spans="1:11" x14ac:dyDescent="0.3">
      <c r="A4" s="27" t="s">
        <v>631</v>
      </c>
      <c r="B4" s="27" t="s">
        <v>1009</v>
      </c>
      <c r="C4" s="27" t="s">
        <v>1367</v>
      </c>
      <c r="D4" s="27" t="s">
        <v>28</v>
      </c>
      <c r="E4" s="27" t="s">
        <v>29</v>
      </c>
      <c r="F4" s="8">
        <v>119022.49</v>
      </c>
      <c r="G4" s="28">
        <v>44431</v>
      </c>
      <c r="H4" s="8">
        <v>1</v>
      </c>
      <c r="I4" s="27" t="s">
        <v>23</v>
      </c>
      <c r="J4" s="27" t="s">
        <v>24</v>
      </c>
      <c r="K4" s="27" t="s">
        <v>633</v>
      </c>
    </row>
    <row r="5" spans="1:11" x14ac:dyDescent="0.3">
      <c r="A5" s="27" t="s">
        <v>49</v>
      </c>
      <c r="B5" s="27" t="s">
        <v>1020</v>
      </c>
      <c r="C5" s="27" t="s">
        <v>1021</v>
      </c>
      <c r="D5" s="27" t="s">
        <v>20</v>
      </c>
      <c r="E5" s="27" t="s">
        <v>21</v>
      </c>
      <c r="F5" s="8">
        <v>118976.16</v>
      </c>
      <c r="G5" s="28">
        <v>44120</v>
      </c>
      <c r="H5" s="8">
        <v>1</v>
      </c>
      <c r="I5" s="27" t="s">
        <v>23</v>
      </c>
      <c r="J5" s="27" t="s">
        <v>47</v>
      </c>
      <c r="K5" s="27" t="s">
        <v>1022</v>
      </c>
    </row>
    <row r="6" spans="1:11" x14ac:dyDescent="0.3">
      <c r="A6" s="27" t="s">
        <v>708</v>
      </c>
      <c r="B6" s="27" t="s">
        <v>1009</v>
      </c>
      <c r="C6" s="27" t="s">
        <v>1409</v>
      </c>
      <c r="D6" s="27" t="s">
        <v>20</v>
      </c>
      <c r="E6" s="27" t="s">
        <v>34</v>
      </c>
      <c r="F6" s="29">
        <v>118442.54</v>
      </c>
      <c r="G6" s="28">
        <v>44193</v>
      </c>
      <c r="H6" s="8">
        <v>1</v>
      </c>
      <c r="I6" s="27" t="s">
        <v>23</v>
      </c>
      <c r="J6" s="27" t="s">
        <v>115</v>
      </c>
      <c r="K6" s="27" t="s">
        <v>710</v>
      </c>
    </row>
    <row r="7" spans="1:11" x14ac:dyDescent="0.3">
      <c r="A7" s="27" t="s">
        <v>230</v>
      </c>
      <c r="B7" s="27" t="s">
        <v>1141</v>
      </c>
      <c r="C7" s="27" t="s">
        <v>1142</v>
      </c>
      <c r="D7" s="27" t="s">
        <v>28</v>
      </c>
      <c r="E7" s="27" t="s">
        <v>68</v>
      </c>
      <c r="F7" s="8">
        <v>116767.63</v>
      </c>
      <c r="G7" s="28">
        <v>43949</v>
      </c>
      <c r="H7" s="8">
        <v>0.4</v>
      </c>
      <c r="I7" s="27" t="s">
        <v>85</v>
      </c>
      <c r="J7" s="27" t="s">
        <v>74</v>
      </c>
      <c r="K7" s="27" t="s">
        <v>232</v>
      </c>
    </row>
    <row r="8" spans="1:11" x14ac:dyDescent="0.3">
      <c r="A8" s="27" t="s">
        <v>805</v>
      </c>
      <c r="B8" s="27" t="s">
        <v>1300</v>
      </c>
      <c r="C8" s="27" t="s">
        <v>1048</v>
      </c>
      <c r="D8" s="27" t="s">
        <v>20</v>
      </c>
      <c r="E8" s="27" t="s">
        <v>68</v>
      </c>
      <c r="F8" s="8">
        <v>116767.63</v>
      </c>
      <c r="G8" s="28">
        <v>43949</v>
      </c>
      <c r="H8" s="8">
        <v>0.4</v>
      </c>
      <c r="I8" s="27" t="s">
        <v>85</v>
      </c>
      <c r="J8" s="27" t="s">
        <v>24</v>
      </c>
      <c r="K8" s="27" t="s">
        <v>1455</v>
      </c>
    </row>
    <row r="9" spans="1:11" x14ac:dyDescent="0.3">
      <c r="A9" s="27" t="s">
        <v>402</v>
      </c>
      <c r="B9" s="27" t="s">
        <v>1232</v>
      </c>
      <c r="C9" s="27" t="s">
        <v>1233</v>
      </c>
      <c r="D9" s="27" t="s">
        <v>20</v>
      </c>
      <c r="E9" s="27" t="s">
        <v>29</v>
      </c>
      <c r="F9" s="8">
        <v>115191.38</v>
      </c>
      <c r="G9" s="28">
        <v>44004</v>
      </c>
      <c r="H9" s="8">
        <v>1</v>
      </c>
      <c r="I9" s="27" t="s">
        <v>23</v>
      </c>
      <c r="J9" s="27" t="s">
        <v>35</v>
      </c>
      <c r="K9" s="27" t="s">
        <v>1234</v>
      </c>
    </row>
    <row r="10" spans="1:11" x14ac:dyDescent="0.3">
      <c r="A10" s="27" t="s">
        <v>905</v>
      </c>
      <c r="B10" s="27" t="s">
        <v>1506</v>
      </c>
      <c r="C10" s="27" t="s">
        <v>1333</v>
      </c>
      <c r="D10" s="27" t="s">
        <v>28</v>
      </c>
      <c r="E10" s="27" t="s">
        <v>83</v>
      </c>
      <c r="F10" s="8">
        <v>114772.32</v>
      </c>
      <c r="G10" s="28">
        <v>44251</v>
      </c>
      <c r="H10" s="8">
        <v>1</v>
      </c>
      <c r="I10" s="27" t="s">
        <v>23</v>
      </c>
      <c r="J10" s="27" t="s">
        <v>24</v>
      </c>
      <c r="K10" s="27" t="s">
        <v>1507</v>
      </c>
    </row>
    <row r="11" spans="1:11" x14ac:dyDescent="0.3">
      <c r="A11" s="27" t="s">
        <v>177</v>
      </c>
      <c r="B11" s="27" t="s">
        <v>1108</v>
      </c>
      <c r="C11" s="27" t="s">
        <v>1109</v>
      </c>
      <c r="D11" s="27" t="s">
        <v>20</v>
      </c>
      <c r="E11" s="27" t="s">
        <v>39</v>
      </c>
      <c r="F11" s="8">
        <v>114691.03</v>
      </c>
      <c r="G11" s="28">
        <v>44039</v>
      </c>
      <c r="H11" s="8">
        <v>1</v>
      </c>
      <c r="I11" s="27" t="s">
        <v>85</v>
      </c>
      <c r="J11" s="27" t="s">
        <v>115</v>
      </c>
      <c r="K11" s="27" t="s">
        <v>180</v>
      </c>
    </row>
    <row r="12" spans="1:11" x14ac:dyDescent="0.3">
      <c r="A12" s="27" t="s">
        <v>301</v>
      </c>
      <c r="B12" s="27" t="s">
        <v>1175</v>
      </c>
      <c r="C12" s="27" t="s">
        <v>1173</v>
      </c>
      <c r="D12" s="27" t="s">
        <v>20</v>
      </c>
      <c r="E12" s="27" t="s">
        <v>78</v>
      </c>
      <c r="F12" s="8">
        <v>114465.93</v>
      </c>
      <c r="G12" s="28">
        <v>43291</v>
      </c>
      <c r="H12" s="8">
        <v>1</v>
      </c>
      <c r="I12" s="27" t="s">
        <v>85</v>
      </c>
      <c r="J12" s="27" t="s">
        <v>30</v>
      </c>
      <c r="K12" s="27" t="s">
        <v>303</v>
      </c>
    </row>
    <row r="13" spans="1:11" x14ac:dyDescent="0.3">
      <c r="A13" s="27" t="s">
        <v>71</v>
      </c>
      <c r="B13" s="27" t="s">
        <v>1036</v>
      </c>
      <c r="C13" s="27" t="s">
        <v>1037</v>
      </c>
      <c r="D13" s="27" t="s">
        <v>20</v>
      </c>
      <c r="E13" s="27" t="s">
        <v>45</v>
      </c>
      <c r="F13" s="8">
        <v>114425.19</v>
      </c>
      <c r="G13" s="28">
        <v>43857</v>
      </c>
      <c r="H13" s="8">
        <v>1</v>
      </c>
      <c r="I13" s="27" t="s">
        <v>23</v>
      </c>
      <c r="J13" s="27" t="s">
        <v>74</v>
      </c>
      <c r="K13" s="27" t="s">
        <v>75</v>
      </c>
    </row>
    <row r="14" spans="1:11" x14ac:dyDescent="0.3">
      <c r="A14" s="27" t="s">
        <v>634</v>
      </c>
      <c r="B14" s="27" t="s">
        <v>1262</v>
      </c>
      <c r="C14" s="27" t="s">
        <v>1368</v>
      </c>
      <c r="D14" s="27" t="s">
        <v>28</v>
      </c>
      <c r="E14" s="27" t="s">
        <v>45</v>
      </c>
      <c r="F14" s="8">
        <v>114177.23</v>
      </c>
      <c r="G14" s="28">
        <v>43908</v>
      </c>
      <c r="H14" s="8">
        <v>1</v>
      </c>
      <c r="I14" s="27" t="s">
        <v>23</v>
      </c>
      <c r="J14" s="27" t="s">
        <v>35</v>
      </c>
      <c r="K14" s="27" t="s">
        <v>1369</v>
      </c>
    </row>
    <row r="15" spans="1:11" x14ac:dyDescent="0.3">
      <c r="A15" s="27" t="s">
        <v>283</v>
      </c>
      <c r="B15" s="27" t="s">
        <v>1031</v>
      </c>
      <c r="C15" s="27" t="s">
        <v>1080</v>
      </c>
      <c r="D15" s="27" t="s">
        <v>28</v>
      </c>
      <c r="E15" s="27" t="s">
        <v>68</v>
      </c>
      <c r="F15" s="8">
        <v>113747.56</v>
      </c>
      <c r="G15" s="28">
        <v>44270</v>
      </c>
      <c r="H15" s="8">
        <v>0.7</v>
      </c>
      <c r="I15" s="27" t="s">
        <v>85</v>
      </c>
      <c r="J15" s="27" t="s">
        <v>115</v>
      </c>
      <c r="K15" s="27" t="s">
        <v>1166</v>
      </c>
    </row>
    <row r="16" spans="1:11" x14ac:dyDescent="0.3">
      <c r="A16" s="27" t="s">
        <v>939</v>
      </c>
      <c r="B16" s="27" t="s">
        <v>1151</v>
      </c>
      <c r="C16" s="27" t="s">
        <v>1518</v>
      </c>
      <c r="D16" s="27" t="s">
        <v>28</v>
      </c>
      <c r="E16" s="27" t="s">
        <v>39</v>
      </c>
      <c r="F16" s="8">
        <v>113747.56</v>
      </c>
      <c r="G16" s="28">
        <v>44270</v>
      </c>
      <c r="H16" s="8">
        <v>0.7</v>
      </c>
      <c r="I16" s="27" t="s">
        <v>85</v>
      </c>
      <c r="J16" s="27" t="s">
        <v>74</v>
      </c>
      <c r="K16" s="27" t="s">
        <v>1519</v>
      </c>
    </row>
    <row r="17" spans="1:11" x14ac:dyDescent="0.3">
      <c r="A17" s="27" t="s">
        <v>164</v>
      </c>
      <c r="B17" s="27" t="s">
        <v>1098</v>
      </c>
      <c r="C17" s="27" t="s">
        <v>1099</v>
      </c>
      <c r="D17" s="27" t="s">
        <v>20</v>
      </c>
      <c r="E17" s="27" t="s">
        <v>29</v>
      </c>
      <c r="F17" s="8">
        <v>113616.23</v>
      </c>
      <c r="G17" s="28">
        <v>43255</v>
      </c>
      <c r="H17" s="8">
        <v>1</v>
      </c>
      <c r="I17" s="27" t="s">
        <v>23</v>
      </c>
      <c r="J17" s="27" t="s">
        <v>55</v>
      </c>
      <c r="K17" s="27" t="s">
        <v>166</v>
      </c>
    </row>
    <row r="18" spans="1:11" x14ac:dyDescent="0.3">
      <c r="A18" s="27" t="s">
        <v>395</v>
      </c>
      <c r="B18" s="27" t="s">
        <v>1229</v>
      </c>
      <c r="C18" s="27" t="s">
        <v>1213</v>
      </c>
      <c r="D18" s="27" t="s">
        <v>20</v>
      </c>
      <c r="E18" s="27" t="s">
        <v>29</v>
      </c>
      <c r="F18" s="8">
        <v>112778.28</v>
      </c>
      <c r="G18" s="28">
        <v>43250</v>
      </c>
      <c r="H18" s="8">
        <v>1</v>
      </c>
      <c r="I18" s="27" t="s">
        <v>41</v>
      </c>
      <c r="J18" s="27" t="s">
        <v>107</v>
      </c>
      <c r="K18" s="27" t="s">
        <v>1230</v>
      </c>
    </row>
    <row r="19" spans="1:11" x14ac:dyDescent="0.3">
      <c r="A19" s="27" t="s">
        <v>617</v>
      </c>
      <c r="B19" s="27" t="s">
        <v>1358</v>
      </c>
      <c r="C19" s="27" t="s">
        <v>1359</v>
      </c>
      <c r="D19" s="27" t="s">
        <v>20</v>
      </c>
      <c r="E19" s="27" t="s">
        <v>83</v>
      </c>
      <c r="F19" s="8">
        <v>112778.28</v>
      </c>
      <c r="G19" s="28">
        <v>43250</v>
      </c>
      <c r="H19" s="8">
        <v>1</v>
      </c>
      <c r="I19" s="27" t="s">
        <v>41</v>
      </c>
      <c r="J19" s="27" t="s">
        <v>24</v>
      </c>
      <c r="K19" s="27" t="s">
        <v>1360</v>
      </c>
    </row>
    <row r="20" spans="1:11" x14ac:dyDescent="0.3">
      <c r="A20" s="27" t="s">
        <v>326</v>
      </c>
      <c r="B20" s="27" t="s">
        <v>1189</v>
      </c>
      <c r="C20" s="27" t="s">
        <v>1111</v>
      </c>
      <c r="D20" s="27" t="s">
        <v>28</v>
      </c>
      <c r="E20" s="27" t="s">
        <v>29</v>
      </c>
      <c r="F20" s="8">
        <v>112645.99</v>
      </c>
      <c r="G20" s="28">
        <v>43759</v>
      </c>
      <c r="H20" s="8">
        <v>0.6</v>
      </c>
      <c r="I20" s="27" t="s">
        <v>23</v>
      </c>
      <c r="J20" s="27" t="s">
        <v>107</v>
      </c>
      <c r="K20" s="27" t="s">
        <v>1190</v>
      </c>
    </row>
    <row r="21" spans="1:11" x14ac:dyDescent="0.3">
      <c r="A21" s="27" t="s">
        <v>472</v>
      </c>
      <c r="B21" s="27" t="s">
        <v>1270</v>
      </c>
      <c r="C21" s="27" t="s">
        <v>1271</v>
      </c>
      <c r="D21" s="27" t="s">
        <v>20</v>
      </c>
      <c r="E21" s="27" t="s">
        <v>34</v>
      </c>
      <c r="F21" s="29">
        <v>111815.49</v>
      </c>
      <c r="G21" s="28">
        <v>43895</v>
      </c>
      <c r="H21" s="8">
        <v>0.7</v>
      </c>
      <c r="I21" s="27" t="s">
        <v>85</v>
      </c>
      <c r="J21" s="27" t="s">
        <v>47</v>
      </c>
      <c r="K21" s="27" t="s">
        <v>1272</v>
      </c>
    </row>
    <row r="22" spans="1:11" x14ac:dyDescent="0.3">
      <c r="A22" s="27" t="s">
        <v>462</v>
      </c>
      <c r="B22" s="27" t="s">
        <v>1264</v>
      </c>
      <c r="C22" s="27" t="s">
        <v>1265</v>
      </c>
      <c r="D22" s="27" t="s">
        <v>28</v>
      </c>
      <c r="E22" s="27" t="s">
        <v>68</v>
      </c>
      <c r="F22" s="8">
        <v>111815.49</v>
      </c>
      <c r="G22" s="28">
        <v>43895</v>
      </c>
      <c r="H22" s="8">
        <v>0.7</v>
      </c>
      <c r="I22" s="27" t="s">
        <v>85</v>
      </c>
      <c r="J22" s="27" t="s">
        <v>74</v>
      </c>
      <c r="K22" s="27" t="s">
        <v>464</v>
      </c>
    </row>
    <row r="23" spans="1:11" x14ac:dyDescent="0.3">
      <c r="A23" s="27" t="s">
        <v>455</v>
      </c>
      <c r="B23" s="27" t="s">
        <v>1204</v>
      </c>
      <c r="C23" s="27" t="s">
        <v>1261</v>
      </c>
      <c r="D23" s="27" t="s">
        <v>28</v>
      </c>
      <c r="E23" s="27" t="s">
        <v>39</v>
      </c>
      <c r="F23" s="8">
        <v>111229.47</v>
      </c>
      <c r="G23" s="28">
        <v>43402</v>
      </c>
      <c r="H23" s="8">
        <v>1</v>
      </c>
      <c r="I23" s="27" t="s">
        <v>23</v>
      </c>
      <c r="J23" s="27" t="s">
        <v>24</v>
      </c>
      <c r="K23" s="27" t="s">
        <v>458</v>
      </c>
    </row>
    <row r="24" spans="1:11" x14ac:dyDescent="0.3">
      <c r="A24" s="27" t="s">
        <v>405</v>
      </c>
      <c r="B24" s="27" t="s">
        <v>1100</v>
      </c>
      <c r="C24" s="27" t="s">
        <v>1235</v>
      </c>
      <c r="D24" s="27" t="s">
        <v>28</v>
      </c>
      <c r="E24" s="27" t="s">
        <v>83</v>
      </c>
      <c r="F24" s="8">
        <v>111049.84</v>
      </c>
      <c r="G24" s="28">
        <v>44393</v>
      </c>
      <c r="H24" s="8">
        <v>1</v>
      </c>
      <c r="I24" s="27" t="s">
        <v>23</v>
      </c>
      <c r="J24" s="27" t="s">
        <v>115</v>
      </c>
      <c r="K24" s="27" t="s">
        <v>1236</v>
      </c>
    </row>
    <row r="25" spans="1:11" x14ac:dyDescent="0.3">
      <c r="A25" s="27" t="s">
        <v>167</v>
      </c>
      <c r="B25" s="27" t="s">
        <v>1100</v>
      </c>
      <c r="C25" s="27" t="s">
        <v>1101</v>
      </c>
      <c r="D25" s="27" t="s">
        <v>20</v>
      </c>
      <c r="E25" s="27" t="s">
        <v>21</v>
      </c>
      <c r="F25" s="8">
        <v>110906.35</v>
      </c>
      <c r="G25" s="28">
        <v>43434</v>
      </c>
      <c r="H25" s="8">
        <v>1</v>
      </c>
      <c r="I25" s="27" t="s">
        <v>85</v>
      </c>
      <c r="J25" s="27" t="s">
        <v>30</v>
      </c>
      <c r="K25" s="27" t="s">
        <v>1102</v>
      </c>
    </row>
    <row r="26" spans="1:11" x14ac:dyDescent="0.3">
      <c r="A26" s="27" t="s">
        <v>540</v>
      </c>
      <c r="B26" s="27" t="s">
        <v>1315</v>
      </c>
      <c r="C26" s="27" t="s">
        <v>1316</v>
      </c>
      <c r="D26" s="27" t="s">
        <v>28</v>
      </c>
      <c r="E26" s="27" t="s">
        <v>29</v>
      </c>
      <c r="F26" s="8">
        <v>110042.37</v>
      </c>
      <c r="G26" s="28">
        <v>43914</v>
      </c>
      <c r="H26" s="8">
        <v>1</v>
      </c>
      <c r="I26" s="27" t="s">
        <v>23</v>
      </c>
      <c r="J26" s="27" t="s">
        <v>115</v>
      </c>
      <c r="K26" s="27" t="s">
        <v>1317</v>
      </c>
    </row>
    <row r="27" spans="1:11" x14ac:dyDescent="0.3">
      <c r="A27" s="27" t="s">
        <v>701</v>
      </c>
      <c r="B27" s="27" t="s">
        <v>1406</v>
      </c>
      <c r="C27" s="27" t="s">
        <v>1407</v>
      </c>
      <c r="D27" s="27" t="s">
        <v>28</v>
      </c>
      <c r="E27" s="27" t="s">
        <v>29</v>
      </c>
      <c r="F27" s="8">
        <v>109163.39</v>
      </c>
      <c r="G27" s="28">
        <v>44019</v>
      </c>
      <c r="H27" s="8">
        <v>0.8</v>
      </c>
      <c r="I27" s="27" t="s">
        <v>23</v>
      </c>
      <c r="J27" s="27" t="s">
        <v>35</v>
      </c>
      <c r="K27" s="27" t="s">
        <v>703</v>
      </c>
    </row>
    <row r="28" spans="1:11" x14ac:dyDescent="0.3">
      <c r="A28" s="27" t="s">
        <v>665</v>
      </c>
      <c r="B28" s="27" t="s">
        <v>1386</v>
      </c>
      <c r="C28" s="27" t="s">
        <v>1387</v>
      </c>
      <c r="D28" s="27" t="s">
        <v>28</v>
      </c>
      <c r="E28" s="27" t="s">
        <v>34</v>
      </c>
      <c r="F28" s="29">
        <v>109143.17</v>
      </c>
      <c r="G28" s="28">
        <v>43945</v>
      </c>
      <c r="H28" s="8">
        <v>1</v>
      </c>
      <c r="I28" s="27" t="s">
        <v>23</v>
      </c>
      <c r="J28" s="27" t="s">
        <v>24</v>
      </c>
      <c r="K28" s="27" t="s">
        <v>1388</v>
      </c>
    </row>
    <row r="29" spans="1:11" x14ac:dyDescent="0.3">
      <c r="A29" s="27" t="s">
        <v>556</v>
      </c>
      <c r="B29" s="27" t="s">
        <v>1308</v>
      </c>
      <c r="C29" s="27" t="s">
        <v>1325</v>
      </c>
      <c r="D29" s="27" t="s">
        <v>20</v>
      </c>
      <c r="E29" s="27" t="s">
        <v>21</v>
      </c>
      <c r="F29" s="8">
        <v>108872.77</v>
      </c>
      <c r="G29" s="28">
        <v>43521</v>
      </c>
      <c r="H29" s="8">
        <v>1</v>
      </c>
      <c r="I29" s="27" t="s">
        <v>23</v>
      </c>
      <c r="J29" s="27" t="s">
        <v>24</v>
      </c>
      <c r="K29" s="27" t="s">
        <v>1326</v>
      </c>
    </row>
    <row r="30" spans="1:11" x14ac:dyDescent="0.3">
      <c r="A30" s="27" t="s">
        <v>330</v>
      </c>
      <c r="B30" s="27" t="s">
        <v>1191</v>
      </c>
      <c r="C30" s="27" t="s">
        <v>1192</v>
      </c>
      <c r="D30" s="27" t="s">
        <v>20</v>
      </c>
      <c r="E30" s="27" t="s">
        <v>83</v>
      </c>
      <c r="F30" s="8">
        <v>107107.6</v>
      </c>
      <c r="G30" s="28">
        <v>43325</v>
      </c>
      <c r="H30" s="8">
        <v>0.9</v>
      </c>
      <c r="I30" s="27" t="s">
        <v>23</v>
      </c>
      <c r="J30" s="27" t="s">
        <v>107</v>
      </c>
      <c r="K30" s="27" t="s">
        <v>1193</v>
      </c>
    </row>
    <row r="31" spans="1:11" x14ac:dyDescent="0.3">
      <c r="A31" s="27" t="s">
        <v>311</v>
      </c>
      <c r="B31" s="27" t="s">
        <v>1180</v>
      </c>
      <c r="C31" s="27" t="s">
        <v>1181</v>
      </c>
      <c r="D31" s="27" t="s">
        <v>20</v>
      </c>
      <c r="E31" s="27" t="s">
        <v>39</v>
      </c>
      <c r="F31" s="8">
        <v>106775.14</v>
      </c>
      <c r="G31" s="28">
        <v>43563</v>
      </c>
      <c r="H31" s="8">
        <v>1</v>
      </c>
      <c r="I31" s="27" t="s">
        <v>41</v>
      </c>
      <c r="J31" s="27" t="s">
        <v>55</v>
      </c>
      <c r="K31" s="27" t="s">
        <v>313</v>
      </c>
    </row>
    <row r="32" spans="1:11" x14ac:dyDescent="0.3">
      <c r="A32" s="27" t="s">
        <v>448</v>
      </c>
      <c r="B32" s="27" t="s">
        <v>1255</v>
      </c>
      <c r="C32" s="27" t="s">
        <v>1256</v>
      </c>
      <c r="D32" s="27" t="s">
        <v>28</v>
      </c>
      <c r="E32" s="27" t="s">
        <v>21</v>
      </c>
      <c r="F32" s="8">
        <v>106775.14</v>
      </c>
      <c r="G32" s="28">
        <v>43563</v>
      </c>
      <c r="H32" s="8">
        <v>1</v>
      </c>
      <c r="I32" s="27" t="s">
        <v>41</v>
      </c>
      <c r="J32" s="27" t="s">
        <v>55</v>
      </c>
      <c r="K32" s="27" t="s">
        <v>1257</v>
      </c>
    </row>
    <row r="33" spans="1:11" x14ac:dyDescent="0.3">
      <c r="A33" s="27" t="s">
        <v>567</v>
      </c>
      <c r="B33" s="27" t="s">
        <v>1332</v>
      </c>
      <c r="C33" s="27" t="s">
        <v>1333</v>
      </c>
      <c r="D33" s="27" t="s">
        <v>28</v>
      </c>
      <c r="E33" s="27" t="s">
        <v>45</v>
      </c>
      <c r="F33" s="8">
        <v>106665.67</v>
      </c>
      <c r="G33" s="28">
        <v>43311</v>
      </c>
      <c r="H33" s="8">
        <v>1</v>
      </c>
      <c r="I33" s="27" t="s">
        <v>85</v>
      </c>
      <c r="J33" s="27" t="s">
        <v>115</v>
      </c>
      <c r="K33" s="27" t="s">
        <v>1334</v>
      </c>
    </row>
    <row r="34" spans="1:11" x14ac:dyDescent="0.3">
      <c r="A34" s="27" t="s">
        <v>847</v>
      </c>
      <c r="B34" s="27" t="s">
        <v>1477</v>
      </c>
      <c r="C34" s="27" t="s">
        <v>1478</v>
      </c>
      <c r="D34" s="27" t="s">
        <v>28</v>
      </c>
      <c r="E34" s="27" t="s">
        <v>29</v>
      </c>
      <c r="F34" s="8">
        <v>106400.02</v>
      </c>
      <c r="G34" s="28">
        <v>44021</v>
      </c>
      <c r="H34" s="8">
        <v>1</v>
      </c>
      <c r="I34" s="27" t="s">
        <v>85</v>
      </c>
      <c r="J34" s="27" t="s">
        <v>35</v>
      </c>
      <c r="K34" s="27" t="s">
        <v>850</v>
      </c>
    </row>
    <row r="35" spans="1:11" x14ac:dyDescent="0.3">
      <c r="A35" s="27" t="s">
        <v>889</v>
      </c>
      <c r="B35" s="27" t="s">
        <v>1500</v>
      </c>
      <c r="C35" s="27" t="s">
        <v>1501</v>
      </c>
      <c r="D35" s="27" t="s">
        <v>28</v>
      </c>
      <c r="E35" s="27" t="s">
        <v>78</v>
      </c>
      <c r="F35" s="8">
        <v>106400.02</v>
      </c>
      <c r="G35" s="28">
        <v>44021</v>
      </c>
      <c r="H35" s="8">
        <v>1</v>
      </c>
      <c r="I35" s="27" t="s">
        <v>85</v>
      </c>
      <c r="J35" s="27" t="s">
        <v>24</v>
      </c>
      <c r="K35" s="27" t="s">
        <v>1502</v>
      </c>
    </row>
    <row r="36" spans="1:11" x14ac:dyDescent="0.3">
      <c r="A36" s="27" t="s">
        <v>651</v>
      </c>
      <c r="B36" s="27" t="s">
        <v>1347</v>
      </c>
      <c r="C36" s="27" t="s">
        <v>1378</v>
      </c>
      <c r="D36" s="27" t="s">
        <v>28</v>
      </c>
      <c r="E36" s="27" t="s">
        <v>45</v>
      </c>
      <c r="F36" s="8">
        <v>104903.79</v>
      </c>
      <c r="G36" s="28">
        <v>43649</v>
      </c>
      <c r="H36" s="8">
        <v>1</v>
      </c>
      <c r="I36" s="27" t="s">
        <v>23</v>
      </c>
      <c r="J36" s="27" t="s">
        <v>115</v>
      </c>
      <c r="K36" s="27" t="s">
        <v>1379</v>
      </c>
    </row>
    <row r="37" spans="1:11" x14ac:dyDescent="0.3">
      <c r="A37" s="27" t="s">
        <v>53</v>
      </c>
      <c r="B37" s="27" t="s">
        <v>1023</v>
      </c>
      <c r="C37" s="27" t="s">
        <v>1024</v>
      </c>
      <c r="D37" s="27" t="s">
        <v>20</v>
      </c>
      <c r="E37" s="27" t="s">
        <v>29</v>
      </c>
      <c r="F37" s="8">
        <v>104802.63</v>
      </c>
      <c r="G37" s="28">
        <v>44502</v>
      </c>
      <c r="H37" s="8">
        <v>1</v>
      </c>
      <c r="I37" s="27" t="s">
        <v>23</v>
      </c>
      <c r="J37" s="27" t="s">
        <v>55</v>
      </c>
      <c r="K37" s="27" t="s">
        <v>56</v>
      </c>
    </row>
    <row r="38" spans="1:11" x14ac:dyDescent="0.3">
      <c r="A38" s="27" t="s">
        <v>133</v>
      </c>
      <c r="B38" s="27" t="s">
        <v>1009</v>
      </c>
      <c r="C38" s="27" t="s">
        <v>1078</v>
      </c>
      <c r="D38" s="27" t="s">
        <v>28</v>
      </c>
      <c r="E38" s="27" t="s">
        <v>68</v>
      </c>
      <c r="F38" s="8">
        <v>104335.03999999999</v>
      </c>
      <c r="G38" s="28">
        <v>43874</v>
      </c>
      <c r="H38" s="8">
        <v>1</v>
      </c>
      <c r="I38" s="27" t="s">
        <v>23</v>
      </c>
      <c r="J38" s="27" t="s">
        <v>115</v>
      </c>
      <c r="K38" s="27" t="s">
        <v>135</v>
      </c>
    </row>
    <row r="39" spans="1:11" x14ac:dyDescent="0.3">
      <c r="A39" s="27" t="s">
        <v>358</v>
      </c>
      <c r="B39" s="27" t="s">
        <v>1212</v>
      </c>
      <c r="C39" s="27" t="s">
        <v>1213</v>
      </c>
      <c r="D39" s="27" t="s">
        <v>28</v>
      </c>
      <c r="E39" s="27" t="s">
        <v>45</v>
      </c>
      <c r="F39" s="8">
        <v>104038.9</v>
      </c>
      <c r="G39" s="28">
        <v>43815</v>
      </c>
      <c r="H39" s="8">
        <v>1</v>
      </c>
      <c r="I39" s="27" t="s">
        <v>41</v>
      </c>
      <c r="J39" s="27" t="s">
        <v>47</v>
      </c>
      <c r="K39" s="27" t="s">
        <v>1214</v>
      </c>
    </row>
    <row r="40" spans="1:11" x14ac:dyDescent="0.3">
      <c r="A40" s="27" t="s">
        <v>886</v>
      </c>
      <c r="B40" s="27" t="s">
        <v>1498</v>
      </c>
      <c r="C40" s="27" t="s">
        <v>1286</v>
      </c>
      <c r="D40" s="27" t="s">
        <v>28</v>
      </c>
      <c r="E40" s="27" t="s">
        <v>34</v>
      </c>
      <c r="F40" s="29">
        <v>103494.94</v>
      </c>
      <c r="G40" s="28">
        <v>43256</v>
      </c>
      <c r="H40" s="8">
        <v>1</v>
      </c>
      <c r="I40" s="27" t="s">
        <v>23</v>
      </c>
      <c r="J40" s="27" t="s">
        <v>35</v>
      </c>
      <c r="K40" s="27" t="s">
        <v>1499</v>
      </c>
    </row>
    <row r="41" spans="1:11" x14ac:dyDescent="0.3">
      <c r="A41" s="27" t="s">
        <v>851</v>
      </c>
      <c r="B41" s="27" t="s">
        <v>1479</v>
      </c>
      <c r="C41" s="27" t="s">
        <v>1480</v>
      </c>
      <c r="D41" s="27" t="s">
        <v>20</v>
      </c>
      <c r="E41" s="27" t="s">
        <v>29</v>
      </c>
      <c r="F41" s="8">
        <v>103494.94</v>
      </c>
      <c r="G41" s="28">
        <v>43256</v>
      </c>
      <c r="H41" s="8">
        <v>1</v>
      </c>
      <c r="I41" s="27" t="s">
        <v>23</v>
      </c>
      <c r="J41" s="27" t="s">
        <v>115</v>
      </c>
      <c r="K41" s="27" t="s">
        <v>1481</v>
      </c>
    </row>
    <row r="42" spans="1:11" x14ac:dyDescent="0.3">
      <c r="A42" s="27" t="s">
        <v>217</v>
      </c>
      <c r="B42" s="27" t="s">
        <v>1130</v>
      </c>
      <c r="C42" s="27" t="s">
        <v>1131</v>
      </c>
      <c r="D42" s="27" t="s">
        <v>28</v>
      </c>
      <c r="E42" s="27" t="s">
        <v>21</v>
      </c>
      <c r="F42" s="8">
        <v>102934.09</v>
      </c>
      <c r="G42" s="28">
        <v>44315</v>
      </c>
      <c r="H42" s="8">
        <v>1</v>
      </c>
      <c r="I42" s="27" t="s">
        <v>23</v>
      </c>
      <c r="J42" s="27" t="s">
        <v>74</v>
      </c>
      <c r="K42" s="27" t="s">
        <v>1132</v>
      </c>
    </row>
    <row r="43" spans="1:11" x14ac:dyDescent="0.3">
      <c r="A43" s="27" t="s">
        <v>765</v>
      </c>
      <c r="B43" s="27" t="s">
        <v>1288</v>
      </c>
      <c r="C43" s="27" t="s">
        <v>1199</v>
      </c>
      <c r="D43" s="27" t="s">
        <v>28</v>
      </c>
      <c r="E43" s="27" t="s">
        <v>78</v>
      </c>
      <c r="F43" s="8">
        <v>102515.81</v>
      </c>
      <c r="G43" s="28">
        <v>43902</v>
      </c>
      <c r="H43" s="8">
        <v>1</v>
      </c>
      <c r="I43" s="27" t="s">
        <v>41</v>
      </c>
      <c r="J43" s="27" t="s">
        <v>74</v>
      </c>
      <c r="K43" s="27" t="s">
        <v>1438</v>
      </c>
    </row>
    <row r="44" spans="1:11" x14ac:dyDescent="0.3">
      <c r="A44" s="27" t="s">
        <v>820</v>
      </c>
      <c r="B44" s="27" t="s">
        <v>1347</v>
      </c>
      <c r="C44" s="27" t="s">
        <v>1462</v>
      </c>
      <c r="D44" s="27" t="s">
        <v>20</v>
      </c>
      <c r="E44" s="27" t="s">
        <v>68</v>
      </c>
      <c r="F44" s="8">
        <v>102129.37</v>
      </c>
      <c r="G44" s="28">
        <v>44396</v>
      </c>
      <c r="H44" s="8">
        <v>1</v>
      </c>
      <c r="I44" s="27" t="s">
        <v>23</v>
      </c>
      <c r="J44" s="27" t="s">
        <v>74</v>
      </c>
      <c r="K44" s="27" t="s">
        <v>1463</v>
      </c>
    </row>
    <row r="45" spans="1:11" x14ac:dyDescent="0.3">
      <c r="A45" s="27" t="s">
        <v>352</v>
      </c>
      <c r="B45" s="27" t="s">
        <v>1206</v>
      </c>
      <c r="C45" s="27" t="s">
        <v>1207</v>
      </c>
      <c r="D45" s="27" t="s">
        <v>28</v>
      </c>
      <c r="E45" s="27" t="s">
        <v>45</v>
      </c>
      <c r="F45" s="8">
        <v>101187.36</v>
      </c>
      <c r="G45" s="28">
        <v>43258</v>
      </c>
      <c r="H45" s="8">
        <v>1</v>
      </c>
      <c r="I45" s="27" t="s">
        <v>41</v>
      </c>
      <c r="J45" s="27" t="s">
        <v>30</v>
      </c>
      <c r="K45" s="27" t="s">
        <v>1208</v>
      </c>
    </row>
    <row r="46" spans="1:11" x14ac:dyDescent="0.3">
      <c r="A46" s="27" t="s">
        <v>638</v>
      </c>
      <c r="B46" s="27" t="s">
        <v>1288</v>
      </c>
      <c r="C46" s="27" t="s">
        <v>1106</v>
      </c>
      <c r="D46" s="27" t="s">
        <v>20</v>
      </c>
      <c r="E46" s="27" t="s">
        <v>68</v>
      </c>
      <c r="F46" s="8">
        <v>100731.95</v>
      </c>
      <c r="G46" s="28">
        <v>43936</v>
      </c>
      <c r="H46" s="8">
        <v>1</v>
      </c>
      <c r="I46" s="27" t="s">
        <v>23</v>
      </c>
      <c r="J46" s="27" t="s">
        <v>107</v>
      </c>
      <c r="K46" s="27" t="s">
        <v>1370</v>
      </c>
    </row>
    <row r="47" spans="1:11" x14ac:dyDescent="0.3">
      <c r="A47" s="27" t="s">
        <v>570</v>
      </c>
      <c r="B47" s="27" t="s">
        <v>1303</v>
      </c>
      <c r="C47" s="27" t="s">
        <v>1335</v>
      </c>
      <c r="D47" s="27" t="s">
        <v>28</v>
      </c>
      <c r="E47" s="27" t="s">
        <v>34</v>
      </c>
      <c r="F47" s="29">
        <v>100424.23</v>
      </c>
      <c r="G47" s="28">
        <v>43801</v>
      </c>
      <c r="H47" s="8">
        <v>1</v>
      </c>
      <c r="I47" s="27" t="s">
        <v>23</v>
      </c>
      <c r="J47" s="27" t="s">
        <v>35</v>
      </c>
      <c r="K47" s="27" t="s">
        <v>572</v>
      </c>
    </row>
    <row r="48" spans="1:11" x14ac:dyDescent="0.3">
      <c r="A48" s="27" t="s">
        <v>171</v>
      </c>
      <c r="B48" s="27" t="s">
        <v>1103</v>
      </c>
      <c r="C48" s="27" t="s">
        <v>1104</v>
      </c>
      <c r="D48" s="27" t="s">
        <v>28</v>
      </c>
      <c r="E48" s="27" t="s">
        <v>68</v>
      </c>
      <c r="F48" s="8">
        <v>100371.31</v>
      </c>
      <c r="G48" s="28">
        <v>44067</v>
      </c>
      <c r="H48" s="8">
        <v>0.8</v>
      </c>
      <c r="I48" s="27" t="s">
        <v>41</v>
      </c>
      <c r="J48" s="27" t="s">
        <v>55</v>
      </c>
      <c r="K48" s="27" t="s">
        <v>173</v>
      </c>
    </row>
    <row r="49" spans="1:11" x14ac:dyDescent="0.3">
      <c r="A49" s="27" t="s">
        <v>823</v>
      </c>
      <c r="B49" s="27" t="s">
        <v>1323</v>
      </c>
      <c r="C49" s="27" t="s">
        <v>1423</v>
      </c>
      <c r="D49" s="27" t="s">
        <v>28</v>
      </c>
      <c r="E49" s="27" t="s">
        <v>45</v>
      </c>
      <c r="F49" s="8">
        <v>99965.97</v>
      </c>
      <c r="G49" s="28">
        <v>43133</v>
      </c>
      <c r="H49" s="8">
        <v>1</v>
      </c>
      <c r="I49" s="27" t="s">
        <v>23</v>
      </c>
      <c r="J49" s="27" t="s">
        <v>35</v>
      </c>
      <c r="K49" s="27" t="s">
        <v>1464</v>
      </c>
    </row>
    <row r="50" spans="1:11" x14ac:dyDescent="0.3">
      <c r="A50" s="27" t="s">
        <v>774</v>
      </c>
      <c r="B50" s="27" t="s">
        <v>1361</v>
      </c>
      <c r="C50" s="27" t="s">
        <v>1435</v>
      </c>
      <c r="D50" s="27" t="s">
        <v>28</v>
      </c>
      <c r="E50" s="27" t="s">
        <v>78</v>
      </c>
      <c r="F50" s="8">
        <v>99683.67</v>
      </c>
      <c r="G50" s="28">
        <v>43500</v>
      </c>
      <c r="H50" s="8">
        <v>1</v>
      </c>
      <c r="I50" s="27" t="s">
        <v>41</v>
      </c>
      <c r="J50" s="27" t="s">
        <v>30</v>
      </c>
      <c r="K50" s="27" t="s">
        <v>776</v>
      </c>
    </row>
    <row r="51" spans="1:11" x14ac:dyDescent="0.3">
      <c r="A51" s="27" t="s">
        <v>361</v>
      </c>
      <c r="B51" s="27" t="s">
        <v>1215</v>
      </c>
      <c r="C51" s="27" t="s">
        <v>1216</v>
      </c>
      <c r="D51" s="27" t="s">
        <v>20</v>
      </c>
      <c r="E51" s="27" t="s">
        <v>39</v>
      </c>
      <c r="F51" s="8">
        <v>99683.67</v>
      </c>
      <c r="G51" s="28">
        <v>43500</v>
      </c>
      <c r="H51" s="8">
        <v>1</v>
      </c>
      <c r="I51" s="27" t="s">
        <v>41</v>
      </c>
      <c r="J51" s="27" t="s">
        <v>107</v>
      </c>
      <c r="K51" s="27" t="s">
        <v>1217</v>
      </c>
    </row>
    <row r="52" spans="1:11" x14ac:dyDescent="0.3">
      <c r="A52" s="27" t="s">
        <v>501</v>
      </c>
      <c r="B52" s="27" t="s">
        <v>1288</v>
      </c>
      <c r="C52" s="27" t="s">
        <v>1289</v>
      </c>
      <c r="D52" s="27" t="s">
        <v>28</v>
      </c>
      <c r="E52" s="27" t="s">
        <v>21</v>
      </c>
      <c r="F52" s="8">
        <v>99460.78</v>
      </c>
      <c r="G52" s="28">
        <v>43956</v>
      </c>
      <c r="H52" s="8">
        <v>1</v>
      </c>
      <c r="I52" s="27" t="s">
        <v>23</v>
      </c>
      <c r="J52" s="27" t="s">
        <v>74</v>
      </c>
      <c r="K52" s="27" t="s">
        <v>504</v>
      </c>
    </row>
    <row r="53" spans="1:11" x14ac:dyDescent="0.3">
      <c r="A53" s="27" t="s">
        <v>275</v>
      </c>
      <c r="B53" s="27" t="s">
        <v>1062</v>
      </c>
      <c r="C53" s="27" t="s">
        <v>1162</v>
      </c>
      <c r="D53" s="27" t="s">
        <v>28</v>
      </c>
      <c r="E53" s="27" t="s">
        <v>83</v>
      </c>
      <c r="F53" s="8">
        <v>99448.78</v>
      </c>
      <c r="G53" s="28">
        <v>43473</v>
      </c>
      <c r="H53" s="8">
        <v>1</v>
      </c>
      <c r="I53" s="27" t="s">
        <v>41</v>
      </c>
      <c r="J53" s="27" t="s">
        <v>55</v>
      </c>
      <c r="K53" s="27" t="s">
        <v>1163</v>
      </c>
    </row>
    <row r="54" spans="1:11" x14ac:dyDescent="0.3">
      <c r="A54" s="27" t="s">
        <v>768</v>
      </c>
      <c r="B54" s="27" t="s">
        <v>1439</v>
      </c>
      <c r="C54" s="27" t="s">
        <v>1170</v>
      </c>
      <c r="D54" s="27" t="s">
        <v>28</v>
      </c>
      <c r="E54" s="27" t="s">
        <v>78</v>
      </c>
      <c r="F54" s="8">
        <v>99448.78</v>
      </c>
      <c r="G54" s="28">
        <v>43473</v>
      </c>
      <c r="H54" s="8">
        <v>1</v>
      </c>
      <c r="I54" s="27" t="s">
        <v>41</v>
      </c>
      <c r="J54" s="27" t="s">
        <v>47</v>
      </c>
      <c r="K54" s="27" t="s">
        <v>1440</v>
      </c>
    </row>
    <row r="55" spans="1:11" x14ac:dyDescent="0.3">
      <c r="A55" s="27" t="s">
        <v>953</v>
      </c>
      <c r="B55" s="27" t="s">
        <v>1128</v>
      </c>
      <c r="C55" s="27" t="s">
        <v>1524</v>
      </c>
      <c r="D55" s="27" t="s">
        <v>28</v>
      </c>
      <c r="E55" s="27" t="s">
        <v>78</v>
      </c>
      <c r="F55" s="8">
        <v>98012.63</v>
      </c>
      <c r="G55" s="28">
        <v>43780</v>
      </c>
      <c r="H55" s="8">
        <v>1</v>
      </c>
      <c r="I55" s="27" t="s">
        <v>23</v>
      </c>
      <c r="J55" s="27" t="s">
        <v>30</v>
      </c>
      <c r="K55" s="27" t="s">
        <v>1525</v>
      </c>
    </row>
    <row r="56" spans="1:11" x14ac:dyDescent="0.3">
      <c r="A56" s="27" t="s">
        <v>26</v>
      </c>
      <c r="B56" s="27" t="s">
        <v>1009</v>
      </c>
      <c r="C56" s="27" t="s">
        <v>1010</v>
      </c>
      <c r="D56" s="27" t="s">
        <v>28</v>
      </c>
      <c r="E56" s="27" t="s">
        <v>29</v>
      </c>
      <c r="F56" s="8">
        <v>98000</v>
      </c>
      <c r="G56" s="28">
        <v>43710</v>
      </c>
      <c r="H56" s="8">
        <v>0.9</v>
      </c>
      <c r="I56" s="27" t="s">
        <v>23</v>
      </c>
      <c r="J56" s="27" t="s">
        <v>30</v>
      </c>
      <c r="K56" s="27" t="s">
        <v>1011</v>
      </c>
    </row>
    <row r="57" spans="1:11" x14ac:dyDescent="0.3">
      <c r="A57" s="27" t="s">
        <v>698</v>
      </c>
      <c r="B57" s="27" t="s">
        <v>1404</v>
      </c>
      <c r="C57" s="27" t="s">
        <v>1405</v>
      </c>
      <c r="D57" s="27" t="s">
        <v>20</v>
      </c>
      <c r="E57" s="27" t="s">
        <v>68</v>
      </c>
      <c r="F57" s="8">
        <v>97105.19</v>
      </c>
      <c r="G57" s="28">
        <v>44425</v>
      </c>
      <c r="H57" s="8">
        <v>1</v>
      </c>
      <c r="I57" s="27" t="s">
        <v>23</v>
      </c>
      <c r="J57" s="27" t="s">
        <v>24</v>
      </c>
      <c r="K57" s="27" t="s">
        <v>700</v>
      </c>
    </row>
    <row r="58" spans="1:11" x14ac:dyDescent="0.3">
      <c r="A58" s="27" t="s">
        <v>614</v>
      </c>
      <c r="B58" s="27" t="s">
        <v>1356</v>
      </c>
      <c r="C58" s="27" t="s">
        <v>1095</v>
      </c>
      <c r="D58" s="27" t="s">
        <v>20</v>
      </c>
      <c r="E58" s="27" t="s">
        <v>68</v>
      </c>
      <c r="F58" s="8">
        <v>96753.78</v>
      </c>
      <c r="G58" s="28">
        <v>44494</v>
      </c>
      <c r="H58" s="8">
        <v>1</v>
      </c>
      <c r="I58" s="27" t="s">
        <v>23</v>
      </c>
      <c r="J58" s="27" t="s">
        <v>74</v>
      </c>
      <c r="K58" s="27" t="s">
        <v>1357</v>
      </c>
    </row>
    <row r="59" spans="1:11" x14ac:dyDescent="0.3">
      <c r="A59" s="27" t="s">
        <v>855</v>
      </c>
      <c r="B59" s="27" t="s">
        <v>1095</v>
      </c>
      <c r="C59" s="27" t="s">
        <v>1482</v>
      </c>
      <c r="D59" s="27" t="s">
        <v>28</v>
      </c>
      <c r="E59" s="27" t="s">
        <v>78</v>
      </c>
      <c r="F59" s="8">
        <v>96753.78</v>
      </c>
      <c r="G59" s="28">
        <v>44494</v>
      </c>
      <c r="H59" s="8">
        <v>1</v>
      </c>
      <c r="I59" s="27" t="s">
        <v>23</v>
      </c>
      <c r="J59" s="27" t="s">
        <v>74</v>
      </c>
      <c r="K59" s="27" t="s">
        <v>1483</v>
      </c>
    </row>
    <row r="60" spans="1:11" x14ac:dyDescent="0.3">
      <c r="A60" s="27" t="s">
        <v>531</v>
      </c>
      <c r="B60" s="27" t="s">
        <v>1308</v>
      </c>
      <c r="C60" s="27" t="s">
        <v>1309</v>
      </c>
      <c r="D60" s="27" t="s">
        <v>20</v>
      </c>
      <c r="E60" s="27" t="s">
        <v>34</v>
      </c>
      <c r="F60" s="29">
        <v>96555.53</v>
      </c>
      <c r="G60" s="28">
        <v>43489</v>
      </c>
      <c r="H60" s="8">
        <v>0.2</v>
      </c>
      <c r="I60" s="27" t="s">
        <v>85</v>
      </c>
      <c r="J60" s="27" t="s">
        <v>24</v>
      </c>
      <c r="K60" s="27" t="s">
        <v>1310</v>
      </c>
    </row>
    <row r="61" spans="1:11" x14ac:dyDescent="0.3">
      <c r="A61" s="27" t="s">
        <v>816</v>
      </c>
      <c r="B61" s="27" t="s">
        <v>1460</v>
      </c>
      <c r="C61" s="27" t="s">
        <v>1042</v>
      </c>
      <c r="D61" s="27" t="s">
        <v>20</v>
      </c>
      <c r="E61" s="27" t="s">
        <v>21</v>
      </c>
      <c r="F61" s="8">
        <v>96135.75</v>
      </c>
      <c r="G61" s="28">
        <v>44025</v>
      </c>
      <c r="H61" s="8">
        <v>0.3</v>
      </c>
      <c r="I61" s="27" t="s">
        <v>23</v>
      </c>
      <c r="J61" s="27" t="s">
        <v>47</v>
      </c>
      <c r="K61" s="27" t="s">
        <v>1461</v>
      </c>
    </row>
    <row r="62" spans="1:11" x14ac:dyDescent="0.3">
      <c r="A62" s="27" t="s">
        <v>488</v>
      </c>
      <c r="B62" s="27" t="s">
        <v>1204</v>
      </c>
      <c r="C62" s="27" t="s">
        <v>1283</v>
      </c>
      <c r="D62" s="27" t="s">
        <v>28</v>
      </c>
      <c r="E62" s="27" t="s">
        <v>29</v>
      </c>
      <c r="F62" s="8">
        <v>95954.02</v>
      </c>
      <c r="G62" s="28">
        <v>43567</v>
      </c>
      <c r="H62" s="8">
        <v>0.3</v>
      </c>
      <c r="I62" s="27" t="s">
        <v>23</v>
      </c>
      <c r="J62" s="27" t="s">
        <v>55</v>
      </c>
      <c r="K62" s="27" t="s">
        <v>1284</v>
      </c>
    </row>
    <row r="63" spans="1:11" x14ac:dyDescent="0.3">
      <c r="A63" s="27" t="s">
        <v>491</v>
      </c>
      <c r="B63" s="27" t="s">
        <v>1285</v>
      </c>
      <c r="C63" s="27" t="s">
        <v>1286</v>
      </c>
      <c r="D63" s="27" t="s">
        <v>20</v>
      </c>
      <c r="E63" s="27" t="s">
        <v>39</v>
      </c>
      <c r="F63" s="8">
        <v>95677.9</v>
      </c>
      <c r="G63" s="28">
        <v>44396</v>
      </c>
      <c r="H63" s="8">
        <v>0.3</v>
      </c>
      <c r="I63" s="27" t="s">
        <v>23</v>
      </c>
      <c r="J63" s="27" t="s">
        <v>55</v>
      </c>
      <c r="K63" s="27" t="s">
        <v>494</v>
      </c>
    </row>
    <row r="64" spans="1:11" x14ac:dyDescent="0.3">
      <c r="A64" s="27" t="s">
        <v>585</v>
      </c>
      <c r="B64" s="27" t="s">
        <v>1343</v>
      </c>
      <c r="C64" s="27" t="s">
        <v>1333</v>
      </c>
      <c r="D64" s="27" t="s">
        <v>28</v>
      </c>
      <c r="E64" s="27" t="s">
        <v>21</v>
      </c>
      <c r="F64" s="8">
        <v>95017.1</v>
      </c>
      <c r="G64" s="28">
        <v>43283</v>
      </c>
      <c r="H64" s="8">
        <v>1</v>
      </c>
      <c r="I64" s="27" t="s">
        <v>41</v>
      </c>
      <c r="J64" s="27" t="s">
        <v>30</v>
      </c>
      <c r="K64" s="27" t="s">
        <v>1344</v>
      </c>
    </row>
    <row r="65" spans="1:11" x14ac:dyDescent="0.3">
      <c r="A65" s="27" t="s">
        <v>830</v>
      </c>
      <c r="B65" s="27" t="s">
        <v>1467</v>
      </c>
      <c r="C65" s="27" t="s">
        <v>1468</v>
      </c>
      <c r="D65" s="27" t="s">
        <v>28</v>
      </c>
      <c r="E65" s="27" t="s">
        <v>45</v>
      </c>
      <c r="F65" s="8">
        <v>94815.28</v>
      </c>
      <c r="G65" s="28">
        <v>43440</v>
      </c>
      <c r="H65" s="8">
        <v>1</v>
      </c>
      <c r="I65" s="27" t="s">
        <v>23</v>
      </c>
      <c r="J65" s="27" t="s">
        <v>107</v>
      </c>
      <c r="K65" s="27" t="s">
        <v>1469</v>
      </c>
    </row>
    <row r="66" spans="1:11" x14ac:dyDescent="0.3">
      <c r="A66" s="27" t="s">
        <v>919</v>
      </c>
      <c r="B66" s="27" t="s">
        <v>1204</v>
      </c>
      <c r="C66" s="27" t="s">
        <v>1283</v>
      </c>
      <c r="D66" s="27" t="s">
        <v>20</v>
      </c>
      <c r="E66" s="27" t="s">
        <v>45</v>
      </c>
      <c r="F66" s="8">
        <v>93964.3</v>
      </c>
      <c r="G66" s="28">
        <v>44454</v>
      </c>
      <c r="H66" s="8">
        <v>0.4</v>
      </c>
      <c r="I66" s="27" t="s">
        <v>41</v>
      </c>
      <c r="J66" s="27" t="s">
        <v>107</v>
      </c>
      <c r="K66" s="27" t="s">
        <v>920</v>
      </c>
    </row>
    <row r="67" spans="1:11" x14ac:dyDescent="0.3">
      <c r="A67" s="27" t="s">
        <v>959</v>
      </c>
      <c r="B67" s="27" t="s">
        <v>1528</v>
      </c>
      <c r="C67" s="27" t="s">
        <v>1529</v>
      </c>
      <c r="D67" s="27" t="s">
        <v>20</v>
      </c>
      <c r="E67" s="27" t="s">
        <v>83</v>
      </c>
      <c r="F67" s="8">
        <v>92943.89</v>
      </c>
      <c r="G67" s="28">
        <v>44510</v>
      </c>
      <c r="H67" s="8">
        <v>1</v>
      </c>
      <c r="I67" s="27" t="s">
        <v>23</v>
      </c>
      <c r="J67" s="27" t="s">
        <v>74</v>
      </c>
      <c r="K67" s="27" t="s">
        <v>961</v>
      </c>
    </row>
    <row r="68" spans="1:11" x14ac:dyDescent="0.3">
      <c r="A68" s="27" t="s">
        <v>690</v>
      </c>
      <c r="B68" s="27" t="s">
        <v>1401</v>
      </c>
      <c r="C68" s="27" t="s">
        <v>1402</v>
      </c>
      <c r="D68" s="27" t="s">
        <v>20</v>
      </c>
      <c r="E68" s="27" t="s">
        <v>78</v>
      </c>
      <c r="F68" s="8">
        <v>92704.48</v>
      </c>
      <c r="G68" s="28">
        <v>43430</v>
      </c>
      <c r="H68" s="8">
        <v>1</v>
      </c>
      <c r="I68" s="27" t="s">
        <v>41</v>
      </c>
      <c r="J68" s="27" t="s">
        <v>107</v>
      </c>
      <c r="K68" s="27" t="s">
        <v>693</v>
      </c>
    </row>
    <row r="69" spans="1:11" x14ac:dyDescent="0.3">
      <c r="A69" s="27" t="s">
        <v>514</v>
      </c>
      <c r="B69" s="27" t="s">
        <v>1219</v>
      </c>
      <c r="C69" s="27" t="s">
        <v>1298</v>
      </c>
      <c r="D69" s="27" t="s">
        <v>28</v>
      </c>
      <c r="E69" s="27" t="s">
        <v>34</v>
      </c>
      <c r="F69" s="29">
        <v>92336.08</v>
      </c>
      <c r="G69" s="28">
        <v>44431</v>
      </c>
      <c r="H69" s="8">
        <v>1</v>
      </c>
      <c r="I69" s="27" t="s">
        <v>23</v>
      </c>
      <c r="J69" s="27" t="s">
        <v>74</v>
      </c>
      <c r="K69" s="27" t="s">
        <v>1299</v>
      </c>
    </row>
    <row r="70" spans="1:11" x14ac:dyDescent="0.3">
      <c r="A70" s="27" t="s">
        <v>738</v>
      </c>
      <c r="B70" s="27" t="s">
        <v>1340</v>
      </c>
      <c r="C70" s="27" t="s">
        <v>1345</v>
      </c>
      <c r="D70" s="27" t="s">
        <v>20</v>
      </c>
      <c r="E70" s="27" t="s">
        <v>78</v>
      </c>
      <c r="F70" s="8">
        <v>91929.69</v>
      </c>
      <c r="G70" s="28">
        <v>44085</v>
      </c>
      <c r="H70" s="8">
        <v>1</v>
      </c>
      <c r="I70" s="27" t="s">
        <v>41</v>
      </c>
      <c r="J70" s="27" t="s">
        <v>47</v>
      </c>
      <c r="K70" s="27" t="s">
        <v>1425</v>
      </c>
    </row>
    <row r="71" spans="1:11" x14ac:dyDescent="0.3">
      <c r="A71" s="27" t="s">
        <v>349</v>
      </c>
      <c r="B71" s="27" t="s">
        <v>1204</v>
      </c>
      <c r="C71" s="27" t="s">
        <v>1205</v>
      </c>
      <c r="D71" s="27" t="s">
        <v>28</v>
      </c>
      <c r="E71" s="27" t="s">
        <v>34</v>
      </c>
      <c r="F71" s="29">
        <v>91645.04</v>
      </c>
      <c r="G71" s="28">
        <v>44223</v>
      </c>
      <c r="H71" s="8">
        <v>1</v>
      </c>
      <c r="I71" s="27" t="s">
        <v>23</v>
      </c>
      <c r="J71" s="27" t="s">
        <v>55</v>
      </c>
      <c r="K71" s="27" t="s">
        <v>351</v>
      </c>
    </row>
    <row r="72" spans="1:11" x14ac:dyDescent="0.3">
      <c r="A72" s="27" t="s">
        <v>944</v>
      </c>
      <c r="B72" s="27" t="s">
        <v>1177</v>
      </c>
      <c r="C72" s="27" t="s">
        <v>1521</v>
      </c>
      <c r="D72" s="27" t="s">
        <v>28</v>
      </c>
      <c r="E72" s="27" t="s">
        <v>78</v>
      </c>
      <c r="F72" s="8">
        <v>91314.75</v>
      </c>
      <c r="G72" s="28">
        <v>43931</v>
      </c>
      <c r="H72" s="8">
        <v>1</v>
      </c>
      <c r="I72" s="27" t="s">
        <v>41</v>
      </c>
      <c r="J72" s="27" t="s">
        <v>35</v>
      </c>
      <c r="K72" s="27" t="s">
        <v>946</v>
      </c>
    </row>
    <row r="73" spans="1:11" x14ac:dyDescent="0.3">
      <c r="A73" s="27" t="s">
        <v>143</v>
      </c>
      <c r="B73" s="27" t="s">
        <v>1084</v>
      </c>
      <c r="C73" s="27" t="s">
        <v>1085</v>
      </c>
      <c r="D73" s="27" t="s">
        <v>20</v>
      </c>
      <c r="E73" s="27" t="s">
        <v>45</v>
      </c>
      <c r="F73" s="8">
        <v>90884.32</v>
      </c>
      <c r="G73" s="28">
        <v>43826</v>
      </c>
      <c r="H73" s="8">
        <v>1</v>
      </c>
      <c r="I73" s="27" t="s">
        <v>23</v>
      </c>
      <c r="J73" s="27" t="s">
        <v>30</v>
      </c>
      <c r="K73" s="27" t="s">
        <v>1086</v>
      </c>
    </row>
    <row r="74" spans="1:11" x14ac:dyDescent="0.3">
      <c r="A74" s="27" t="s">
        <v>435</v>
      </c>
      <c r="B74" s="27" t="s">
        <v>1248</v>
      </c>
      <c r="C74" s="27" t="s">
        <v>1249</v>
      </c>
      <c r="D74" s="27" t="s">
        <v>20</v>
      </c>
      <c r="E74" s="27" t="s">
        <v>78</v>
      </c>
      <c r="F74" s="8">
        <v>90884.32</v>
      </c>
      <c r="G74" s="28">
        <v>43826</v>
      </c>
      <c r="H74" s="8">
        <v>1</v>
      </c>
      <c r="I74" s="27" t="s">
        <v>23</v>
      </c>
      <c r="J74" s="27" t="s">
        <v>107</v>
      </c>
      <c r="K74" s="27" t="s">
        <v>1250</v>
      </c>
    </row>
    <row r="75" spans="1:11" x14ac:dyDescent="0.3">
      <c r="A75" s="27" t="s">
        <v>921</v>
      </c>
      <c r="B75" s="27" t="s">
        <v>1044</v>
      </c>
      <c r="C75" s="27" t="s">
        <v>1511</v>
      </c>
      <c r="D75" s="27" t="s">
        <v>20</v>
      </c>
      <c r="E75" s="27" t="s">
        <v>21</v>
      </c>
      <c r="F75" s="8">
        <v>90884.32</v>
      </c>
      <c r="G75" s="28">
        <v>44039</v>
      </c>
      <c r="H75" s="8">
        <v>0.5</v>
      </c>
      <c r="I75" s="27" t="s">
        <v>23</v>
      </c>
      <c r="J75" s="27" t="s">
        <v>55</v>
      </c>
      <c r="K75" s="27" t="s">
        <v>1512</v>
      </c>
    </row>
    <row r="76" spans="1:11" x14ac:dyDescent="0.3">
      <c r="A76" s="27" t="s">
        <v>140</v>
      </c>
      <c r="B76" s="27" t="s">
        <v>1081</v>
      </c>
      <c r="C76" s="27" t="s">
        <v>1082</v>
      </c>
      <c r="D76" s="27" t="s">
        <v>20</v>
      </c>
      <c r="E76" s="27" t="s">
        <v>68</v>
      </c>
      <c r="F76" s="8">
        <v>90697.67</v>
      </c>
      <c r="G76" s="28">
        <v>44221</v>
      </c>
      <c r="H76" s="8">
        <v>0.8</v>
      </c>
      <c r="I76" s="27" t="s">
        <v>23</v>
      </c>
      <c r="J76" s="27" t="s">
        <v>24</v>
      </c>
      <c r="K76" s="27" t="s">
        <v>1083</v>
      </c>
    </row>
    <row r="77" spans="1:11" x14ac:dyDescent="0.3">
      <c r="A77" s="27" t="s">
        <v>796</v>
      </c>
      <c r="B77" s="27" t="s">
        <v>1028</v>
      </c>
      <c r="C77" s="27" t="s">
        <v>1048</v>
      </c>
      <c r="D77" s="27" t="s">
        <v>20</v>
      </c>
      <c r="E77" s="27" t="s">
        <v>39</v>
      </c>
      <c r="F77" s="8">
        <v>89960.6</v>
      </c>
      <c r="G77" s="28">
        <v>43515</v>
      </c>
      <c r="H77" s="8">
        <v>1</v>
      </c>
      <c r="I77" s="27" t="s">
        <v>41</v>
      </c>
      <c r="J77" s="27" t="s">
        <v>115</v>
      </c>
      <c r="K77" s="27" t="s">
        <v>798</v>
      </c>
    </row>
    <row r="78" spans="1:11" x14ac:dyDescent="0.3">
      <c r="A78" s="27" t="s">
        <v>438</v>
      </c>
      <c r="B78" s="27" t="s">
        <v>1215</v>
      </c>
      <c r="C78" s="27" t="s">
        <v>1034</v>
      </c>
      <c r="D78" s="27" t="s">
        <v>28</v>
      </c>
      <c r="E78" s="27" t="s">
        <v>39</v>
      </c>
      <c r="F78" s="8">
        <v>89838.77</v>
      </c>
      <c r="G78" s="28">
        <v>43602</v>
      </c>
      <c r="H78" s="8">
        <v>1</v>
      </c>
      <c r="I78" s="27" t="s">
        <v>23</v>
      </c>
      <c r="J78" s="27" t="s">
        <v>74</v>
      </c>
      <c r="K78" s="27" t="s">
        <v>1251</v>
      </c>
    </row>
    <row r="79" spans="1:11" x14ac:dyDescent="0.3">
      <c r="A79" s="27" t="s">
        <v>469</v>
      </c>
      <c r="B79" s="27" t="s">
        <v>1267</v>
      </c>
      <c r="C79" s="27" t="s">
        <v>1268</v>
      </c>
      <c r="D79" s="27" t="s">
        <v>20</v>
      </c>
      <c r="E79" s="27" t="s">
        <v>68</v>
      </c>
      <c r="F79" s="8">
        <v>89829.33</v>
      </c>
      <c r="G79" s="28">
        <v>43794</v>
      </c>
      <c r="H79" s="8">
        <v>1</v>
      </c>
      <c r="I79" s="27" t="s">
        <v>85</v>
      </c>
      <c r="J79" s="27" t="s">
        <v>55</v>
      </c>
      <c r="K79" s="27" t="s">
        <v>1269</v>
      </c>
    </row>
    <row r="80" spans="1:11" x14ac:dyDescent="0.3">
      <c r="A80" s="27" t="s">
        <v>130</v>
      </c>
      <c r="B80" s="27" t="s">
        <v>1076</v>
      </c>
      <c r="C80" s="27" t="s">
        <v>1077</v>
      </c>
      <c r="D80" s="27" t="s">
        <v>28</v>
      </c>
      <c r="E80" s="27" t="s">
        <v>21</v>
      </c>
      <c r="F80" s="8">
        <v>89690.38</v>
      </c>
      <c r="G80" s="28">
        <v>43206</v>
      </c>
      <c r="H80" s="8">
        <v>1</v>
      </c>
      <c r="I80" s="27" t="s">
        <v>23</v>
      </c>
      <c r="J80" s="27" t="s">
        <v>74</v>
      </c>
      <c r="K80" s="27" t="s">
        <v>132</v>
      </c>
    </row>
    <row r="81" spans="1:11" x14ac:dyDescent="0.3">
      <c r="A81" s="27" t="s">
        <v>451</v>
      </c>
      <c r="B81" s="27" t="s">
        <v>1258</v>
      </c>
      <c r="C81" s="27" t="s">
        <v>1259</v>
      </c>
      <c r="D81" s="27" t="s">
        <v>28</v>
      </c>
      <c r="E81" s="27" t="s">
        <v>78</v>
      </c>
      <c r="F81" s="8">
        <v>89690.38</v>
      </c>
      <c r="G81" s="28">
        <v>43213</v>
      </c>
      <c r="H81" s="8">
        <v>1</v>
      </c>
      <c r="I81" s="27" t="s">
        <v>23</v>
      </c>
      <c r="J81" s="27" t="s">
        <v>55</v>
      </c>
      <c r="K81" s="27" t="s">
        <v>1260</v>
      </c>
    </row>
    <row r="82" spans="1:11" x14ac:dyDescent="0.3">
      <c r="A82" s="27" t="s">
        <v>559</v>
      </c>
      <c r="B82" s="27" t="s">
        <v>1327</v>
      </c>
      <c r="C82" s="27" t="s">
        <v>1328</v>
      </c>
      <c r="D82" s="27" t="s">
        <v>20</v>
      </c>
      <c r="E82" s="27" t="s">
        <v>21</v>
      </c>
      <c r="F82" s="8">
        <v>89605.13</v>
      </c>
      <c r="G82" s="28">
        <v>43258</v>
      </c>
      <c r="H82" s="8">
        <v>1</v>
      </c>
      <c r="I82" s="27" t="s">
        <v>23</v>
      </c>
      <c r="J82" s="27" t="s">
        <v>24</v>
      </c>
      <c r="K82" s="27" t="s">
        <v>562</v>
      </c>
    </row>
    <row r="83" spans="1:11" x14ac:dyDescent="0.3">
      <c r="A83" s="27" t="s">
        <v>527</v>
      </c>
      <c r="B83" s="27" t="s">
        <v>1305</v>
      </c>
      <c r="C83" s="27" t="s">
        <v>1306</v>
      </c>
      <c r="D83" s="27" t="s">
        <v>20</v>
      </c>
      <c r="E83" s="27" t="s">
        <v>83</v>
      </c>
      <c r="F83" s="8">
        <v>88689.09</v>
      </c>
      <c r="G83" s="28">
        <v>43740</v>
      </c>
      <c r="H83" s="8">
        <v>1</v>
      </c>
      <c r="I83" s="27" t="s">
        <v>23</v>
      </c>
      <c r="J83" s="27" t="s">
        <v>47</v>
      </c>
      <c r="K83" s="27" t="s">
        <v>1307</v>
      </c>
    </row>
    <row r="84" spans="1:11" x14ac:dyDescent="0.3">
      <c r="A84" s="27" t="s">
        <v>481</v>
      </c>
      <c r="B84" s="27" t="s">
        <v>1278</v>
      </c>
      <c r="C84" s="27" t="s">
        <v>1279</v>
      </c>
      <c r="D84" s="27" t="s">
        <v>20</v>
      </c>
      <c r="E84" s="27" t="s">
        <v>68</v>
      </c>
      <c r="F84" s="8">
        <v>88511.17</v>
      </c>
      <c r="G84" s="28">
        <v>43950</v>
      </c>
      <c r="H84" s="8">
        <v>1</v>
      </c>
      <c r="I84" s="27" t="s">
        <v>23</v>
      </c>
      <c r="J84" s="27" t="s">
        <v>30</v>
      </c>
      <c r="K84" s="27" t="s">
        <v>484</v>
      </c>
    </row>
    <row r="85" spans="1:11" x14ac:dyDescent="0.3">
      <c r="A85" s="27" t="s">
        <v>607</v>
      </c>
      <c r="B85" s="27" t="s">
        <v>1354</v>
      </c>
      <c r="C85" s="27" t="s">
        <v>1345</v>
      </c>
      <c r="D85" s="27" t="s">
        <v>20</v>
      </c>
      <c r="E85" s="27" t="s">
        <v>21</v>
      </c>
      <c r="F85" s="8">
        <v>88425.08</v>
      </c>
      <c r="G85" s="28">
        <v>43662</v>
      </c>
      <c r="H85" s="8">
        <v>1</v>
      </c>
      <c r="I85" s="27" t="s">
        <v>23</v>
      </c>
      <c r="J85" s="27" t="s">
        <v>107</v>
      </c>
      <c r="K85" s="27" t="s">
        <v>610</v>
      </c>
    </row>
    <row r="86" spans="1:11" x14ac:dyDescent="0.3">
      <c r="A86" s="27" t="s">
        <v>505</v>
      </c>
      <c r="B86" s="27" t="s">
        <v>1290</v>
      </c>
      <c r="C86" s="27" t="s">
        <v>1291</v>
      </c>
      <c r="D86" s="27" t="s">
        <v>28</v>
      </c>
      <c r="E86" s="27" t="s">
        <v>45</v>
      </c>
      <c r="F86" s="8">
        <v>88034.67</v>
      </c>
      <c r="G86" s="28">
        <v>43669</v>
      </c>
      <c r="H86" s="8">
        <v>1</v>
      </c>
      <c r="I86" s="27" t="s">
        <v>23</v>
      </c>
      <c r="J86" s="27" t="s">
        <v>107</v>
      </c>
      <c r="K86" s="27" t="s">
        <v>507</v>
      </c>
    </row>
    <row r="87" spans="1:11" x14ac:dyDescent="0.3">
      <c r="A87" s="27" t="s">
        <v>342</v>
      </c>
      <c r="B87" s="27" t="s">
        <v>1198</v>
      </c>
      <c r="C87" s="27" t="s">
        <v>1199</v>
      </c>
      <c r="D87" s="27" t="s">
        <v>28</v>
      </c>
      <c r="E87" s="27" t="s">
        <v>39</v>
      </c>
      <c r="F87" s="8">
        <v>86558.58</v>
      </c>
      <c r="G87" s="28">
        <v>43887</v>
      </c>
      <c r="H87" s="8">
        <v>1</v>
      </c>
      <c r="I87" s="27" t="s">
        <v>41</v>
      </c>
      <c r="J87" s="27" t="s">
        <v>107</v>
      </c>
      <c r="K87" s="27" t="s">
        <v>1200</v>
      </c>
    </row>
    <row r="88" spans="1:11" x14ac:dyDescent="0.3">
      <c r="A88" s="27" t="s">
        <v>181</v>
      </c>
      <c r="B88" s="27" t="s">
        <v>1110</v>
      </c>
      <c r="C88" s="27" t="s">
        <v>1111</v>
      </c>
      <c r="D88" s="27" t="s">
        <v>20</v>
      </c>
      <c r="E88" s="27" t="s">
        <v>68</v>
      </c>
      <c r="F88" s="8">
        <v>86556.96</v>
      </c>
      <c r="G88" s="28">
        <v>44104</v>
      </c>
      <c r="H88" s="8">
        <v>1</v>
      </c>
      <c r="I88" s="27" t="s">
        <v>23</v>
      </c>
      <c r="J88" s="27" t="s">
        <v>47</v>
      </c>
      <c r="K88" s="27" t="s">
        <v>184</v>
      </c>
    </row>
    <row r="89" spans="1:11" x14ac:dyDescent="0.3">
      <c r="A89" s="27" t="s">
        <v>624</v>
      </c>
      <c r="B89" s="27" t="s">
        <v>1363</v>
      </c>
      <c r="C89" s="27" t="s">
        <v>1364</v>
      </c>
      <c r="D89" s="27" t="s">
        <v>20</v>
      </c>
      <c r="E89" s="27" t="s">
        <v>78</v>
      </c>
      <c r="F89" s="8">
        <v>86233.83</v>
      </c>
      <c r="G89" s="28">
        <v>43706</v>
      </c>
      <c r="H89" s="8">
        <v>1</v>
      </c>
      <c r="I89" s="27" t="s">
        <v>41</v>
      </c>
      <c r="J89" s="27" t="s">
        <v>74</v>
      </c>
      <c r="K89" s="27" t="s">
        <v>627</v>
      </c>
    </row>
    <row r="90" spans="1:11" x14ac:dyDescent="0.3">
      <c r="A90" s="27" t="s">
        <v>642</v>
      </c>
      <c r="B90" s="27" t="s">
        <v>1354</v>
      </c>
      <c r="C90" s="27" t="s">
        <v>1371</v>
      </c>
      <c r="D90" s="27" t="s">
        <v>28</v>
      </c>
      <c r="E90" s="27" t="s">
        <v>45</v>
      </c>
      <c r="F90" s="8">
        <v>86010.54</v>
      </c>
      <c r="G90" s="28">
        <v>43164</v>
      </c>
      <c r="H90" s="8">
        <v>1</v>
      </c>
      <c r="I90" s="27" t="s">
        <v>23</v>
      </c>
      <c r="J90" s="27" t="s">
        <v>107</v>
      </c>
      <c r="K90" s="27" t="s">
        <v>1372</v>
      </c>
    </row>
    <row r="91" spans="1:11" x14ac:dyDescent="0.3">
      <c r="A91" s="27" t="s">
        <v>287</v>
      </c>
      <c r="B91" s="27" t="s">
        <v>1167</v>
      </c>
      <c r="C91" s="27" t="s">
        <v>1168</v>
      </c>
      <c r="D91" s="27" t="s">
        <v>28</v>
      </c>
      <c r="E91" s="27" t="s">
        <v>39</v>
      </c>
      <c r="F91" s="8">
        <v>85918.61</v>
      </c>
      <c r="G91" s="28">
        <v>43136</v>
      </c>
      <c r="H91" s="8">
        <v>1</v>
      </c>
      <c r="I91" s="27" t="s">
        <v>23</v>
      </c>
      <c r="J91" s="27" t="s">
        <v>107</v>
      </c>
      <c r="K91" s="27" t="s">
        <v>290</v>
      </c>
    </row>
    <row r="92" spans="1:11" x14ac:dyDescent="0.3">
      <c r="A92" s="27" t="s">
        <v>233</v>
      </c>
      <c r="B92" s="27" t="s">
        <v>1121</v>
      </c>
      <c r="C92" s="27" t="s">
        <v>1143</v>
      </c>
      <c r="D92" s="27" t="s">
        <v>20</v>
      </c>
      <c r="E92" s="27" t="s">
        <v>39</v>
      </c>
      <c r="F92" s="8">
        <v>85455.53</v>
      </c>
      <c r="G92" s="28">
        <v>43839</v>
      </c>
      <c r="H92" s="8">
        <v>1</v>
      </c>
      <c r="I92" s="27" t="s">
        <v>23</v>
      </c>
      <c r="J92" s="27" t="s">
        <v>115</v>
      </c>
      <c r="K92" s="27" t="s">
        <v>1144</v>
      </c>
    </row>
    <row r="93" spans="1:11" x14ac:dyDescent="0.3">
      <c r="A93" s="27" t="s">
        <v>932</v>
      </c>
      <c r="B93" s="27" t="s">
        <v>1232</v>
      </c>
      <c r="C93" s="27" t="s">
        <v>1517</v>
      </c>
      <c r="D93" s="27" t="s">
        <v>20</v>
      </c>
      <c r="E93" s="27" t="s">
        <v>21</v>
      </c>
      <c r="F93" s="8">
        <v>85264.38</v>
      </c>
      <c r="G93" s="28">
        <v>43220</v>
      </c>
      <c r="H93" s="8">
        <v>1</v>
      </c>
      <c r="I93" s="27" t="s">
        <v>23</v>
      </c>
      <c r="J93" s="27" t="s">
        <v>55</v>
      </c>
      <c r="K93" s="27" t="s">
        <v>935</v>
      </c>
    </row>
    <row r="94" spans="1:11" x14ac:dyDescent="0.3">
      <c r="A94" s="27" t="s">
        <v>269</v>
      </c>
      <c r="B94" s="27" t="s">
        <v>1025</v>
      </c>
      <c r="C94" s="27" t="s">
        <v>1029</v>
      </c>
      <c r="D94" s="27" t="s">
        <v>20</v>
      </c>
      <c r="E94" s="27" t="s">
        <v>39</v>
      </c>
      <c r="F94" s="8">
        <v>84762.76</v>
      </c>
      <c r="G94" s="28">
        <v>43332</v>
      </c>
      <c r="H94" s="8">
        <v>1</v>
      </c>
      <c r="I94" s="27" t="s">
        <v>23</v>
      </c>
      <c r="J94" s="27" t="s">
        <v>115</v>
      </c>
      <c r="K94" s="27" t="s">
        <v>1158</v>
      </c>
    </row>
    <row r="95" spans="1:11" x14ac:dyDescent="0.3">
      <c r="A95" s="27" t="s">
        <v>711</v>
      </c>
      <c r="B95" s="27" t="s">
        <v>1410</v>
      </c>
      <c r="C95" s="27" t="s">
        <v>1034</v>
      </c>
      <c r="D95" s="27" t="s">
        <v>28</v>
      </c>
      <c r="E95" s="27" t="s">
        <v>39</v>
      </c>
      <c r="F95" s="8">
        <v>84745.93</v>
      </c>
      <c r="G95" s="28">
        <v>43707</v>
      </c>
      <c r="H95" s="8">
        <v>1</v>
      </c>
      <c r="I95" s="27" t="s">
        <v>23</v>
      </c>
      <c r="J95" s="27" t="s">
        <v>35</v>
      </c>
      <c r="K95" s="27" t="s">
        <v>1411</v>
      </c>
    </row>
    <row r="96" spans="1:11" x14ac:dyDescent="0.3">
      <c r="A96" s="27" t="s">
        <v>924</v>
      </c>
      <c r="B96" s="27" t="s">
        <v>1513</v>
      </c>
      <c r="C96" s="27" t="s">
        <v>1178</v>
      </c>
      <c r="D96" s="27" t="s">
        <v>28</v>
      </c>
      <c r="E96" s="27" t="s">
        <v>29</v>
      </c>
      <c r="F96" s="8">
        <v>84742.86</v>
      </c>
      <c r="G96" s="28">
        <v>44098</v>
      </c>
      <c r="H96" s="8">
        <v>1</v>
      </c>
      <c r="I96" s="27" t="s">
        <v>23</v>
      </c>
      <c r="J96" s="27" t="s">
        <v>47</v>
      </c>
      <c r="K96" s="27" t="s">
        <v>1514</v>
      </c>
    </row>
    <row r="97" spans="1:11" x14ac:dyDescent="0.3">
      <c r="A97" s="27" t="s">
        <v>591</v>
      </c>
      <c r="B97" s="27" t="s">
        <v>1347</v>
      </c>
      <c r="C97" s="27" t="s">
        <v>1178</v>
      </c>
      <c r="D97" s="27" t="s">
        <v>20</v>
      </c>
      <c r="E97" s="27" t="s">
        <v>21</v>
      </c>
      <c r="F97" s="8">
        <v>84598.88</v>
      </c>
      <c r="G97" s="28">
        <v>44116</v>
      </c>
      <c r="H97" s="8">
        <v>1</v>
      </c>
      <c r="I97" s="27" t="s">
        <v>41</v>
      </c>
      <c r="J97" s="27" t="s">
        <v>35</v>
      </c>
      <c r="K97" s="27" t="s">
        <v>1348</v>
      </c>
    </row>
    <row r="98" spans="1:11" x14ac:dyDescent="0.3">
      <c r="A98" s="27" t="s">
        <v>718</v>
      </c>
      <c r="B98" s="27" t="s">
        <v>1095</v>
      </c>
      <c r="C98" s="27" t="s">
        <v>1414</v>
      </c>
      <c r="D98" s="27" t="s">
        <v>20</v>
      </c>
      <c r="E98" s="27" t="s">
        <v>21</v>
      </c>
      <c r="F98" s="8">
        <v>84598.88</v>
      </c>
      <c r="G98" s="28">
        <v>44116</v>
      </c>
      <c r="H98" s="8">
        <v>1</v>
      </c>
      <c r="I98" s="27" t="s">
        <v>41</v>
      </c>
      <c r="J98" s="27" t="s">
        <v>47</v>
      </c>
      <c r="K98" s="27" t="s">
        <v>720</v>
      </c>
    </row>
    <row r="99" spans="1:11" x14ac:dyDescent="0.3">
      <c r="A99" s="27" t="s">
        <v>346</v>
      </c>
      <c r="B99" s="27" t="s">
        <v>1201</v>
      </c>
      <c r="C99" s="27" t="s">
        <v>1202</v>
      </c>
      <c r="D99" s="27" t="s">
        <v>20</v>
      </c>
      <c r="E99" s="27" t="s">
        <v>83</v>
      </c>
      <c r="F99" s="8">
        <v>84309.95</v>
      </c>
      <c r="G99" s="28">
        <v>44501</v>
      </c>
      <c r="H99" s="8">
        <v>1</v>
      </c>
      <c r="I99" s="27" t="s">
        <v>23</v>
      </c>
      <c r="J99" s="27" t="s">
        <v>47</v>
      </c>
      <c r="K99" s="27" t="s">
        <v>1203</v>
      </c>
    </row>
    <row r="100" spans="1:11" x14ac:dyDescent="0.3">
      <c r="A100" s="27" t="s">
        <v>314</v>
      </c>
      <c r="B100" s="27" t="s">
        <v>1182</v>
      </c>
      <c r="C100" s="27" t="s">
        <v>1095</v>
      </c>
      <c r="D100" s="27" t="s">
        <v>28</v>
      </c>
      <c r="E100" s="27" t="s">
        <v>83</v>
      </c>
      <c r="F100" s="8">
        <v>83396.5</v>
      </c>
      <c r="G100" s="28">
        <v>44285</v>
      </c>
      <c r="H100" s="8">
        <v>1</v>
      </c>
      <c r="I100" s="27" t="s">
        <v>85</v>
      </c>
      <c r="J100" s="27" t="s">
        <v>55</v>
      </c>
      <c r="K100" s="27" t="s">
        <v>1183</v>
      </c>
    </row>
    <row r="101" spans="1:11" x14ac:dyDescent="0.3">
      <c r="A101" s="27" t="s">
        <v>308</v>
      </c>
      <c r="B101" s="27" t="s">
        <v>1177</v>
      </c>
      <c r="C101" s="27" t="s">
        <v>1178</v>
      </c>
      <c r="D101" s="27" t="s">
        <v>20</v>
      </c>
      <c r="E101" s="27" t="s">
        <v>68</v>
      </c>
      <c r="F101" s="8">
        <v>83191.95</v>
      </c>
      <c r="G101" s="28">
        <v>43700</v>
      </c>
      <c r="H101" s="8">
        <v>0.6</v>
      </c>
      <c r="I101" s="27" t="s">
        <v>85</v>
      </c>
      <c r="J101" s="27" t="s">
        <v>55</v>
      </c>
      <c r="K101" s="27" t="s">
        <v>1179</v>
      </c>
    </row>
    <row r="102" spans="1:11" x14ac:dyDescent="0.3">
      <c r="A102" s="27" t="s">
        <v>748</v>
      </c>
      <c r="B102" s="27" t="s">
        <v>1432</v>
      </c>
      <c r="C102" s="27" t="s">
        <v>1433</v>
      </c>
      <c r="D102" s="27" t="s">
        <v>20</v>
      </c>
      <c r="E102" s="27" t="s">
        <v>34</v>
      </c>
      <c r="F102" s="29">
        <v>82239.53</v>
      </c>
      <c r="G102" s="28">
        <v>43846</v>
      </c>
      <c r="H102" s="8">
        <v>1</v>
      </c>
      <c r="I102" s="27" t="s">
        <v>85</v>
      </c>
      <c r="J102" s="27" t="s">
        <v>47</v>
      </c>
      <c r="K102" s="27" t="s">
        <v>750</v>
      </c>
    </row>
    <row r="103" spans="1:11" x14ac:dyDescent="0.3">
      <c r="A103" s="27" t="s">
        <v>553</v>
      </c>
      <c r="B103" s="27" t="s">
        <v>1323</v>
      </c>
      <c r="C103" s="27" t="s">
        <v>1037</v>
      </c>
      <c r="D103" s="27" t="s">
        <v>20</v>
      </c>
      <c r="E103" s="27" t="s">
        <v>39</v>
      </c>
      <c r="F103" s="8">
        <v>81897.789999999994</v>
      </c>
      <c r="G103" s="28">
        <v>43146</v>
      </c>
      <c r="H103" s="8">
        <v>1</v>
      </c>
      <c r="I103" s="27" t="s">
        <v>23</v>
      </c>
      <c r="J103" s="27" t="s">
        <v>55</v>
      </c>
      <c r="K103" s="27" t="s">
        <v>1324</v>
      </c>
    </row>
    <row r="104" spans="1:11" x14ac:dyDescent="0.3">
      <c r="A104" s="27" t="s">
        <v>928</v>
      </c>
      <c r="B104" s="27" t="s">
        <v>1124</v>
      </c>
      <c r="C104" s="27" t="s">
        <v>1515</v>
      </c>
      <c r="D104" s="27" t="s">
        <v>28</v>
      </c>
      <c r="E104" s="27" t="s">
        <v>83</v>
      </c>
      <c r="F104" s="8">
        <v>80772.92</v>
      </c>
      <c r="G104" s="28">
        <v>44137</v>
      </c>
      <c r="H104" s="8">
        <v>1</v>
      </c>
      <c r="I104" s="27" t="s">
        <v>85</v>
      </c>
      <c r="J104" s="27" t="s">
        <v>107</v>
      </c>
      <c r="K104" s="27" t="s">
        <v>1516</v>
      </c>
    </row>
    <row r="105" spans="1:11" x14ac:dyDescent="0.3">
      <c r="A105" s="27" t="s">
        <v>334</v>
      </c>
      <c r="B105" s="27" t="s">
        <v>1081</v>
      </c>
      <c r="C105" s="27" t="s">
        <v>1194</v>
      </c>
      <c r="D105" s="27" t="s">
        <v>28</v>
      </c>
      <c r="E105" s="27" t="s">
        <v>21</v>
      </c>
      <c r="F105" s="8">
        <v>80695.740000000005</v>
      </c>
      <c r="G105" s="28">
        <v>43787</v>
      </c>
      <c r="H105" s="8">
        <v>0.8</v>
      </c>
      <c r="I105" s="27" t="s">
        <v>23</v>
      </c>
      <c r="J105" s="27" t="s">
        <v>115</v>
      </c>
      <c r="K105" s="27" t="s">
        <v>1195</v>
      </c>
    </row>
    <row r="106" spans="1:11" x14ac:dyDescent="0.3">
      <c r="A106" s="27" t="s">
        <v>783</v>
      </c>
      <c r="B106" s="27" t="s">
        <v>1015</v>
      </c>
      <c r="C106" s="27" t="s">
        <v>1445</v>
      </c>
      <c r="D106" s="27" t="s">
        <v>28</v>
      </c>
      <c r="E106" s="27" t="s">
        <v>21</v>
      </c>
      <c r="F106" s="8">
        <v>80695.740000000005</v>
      </c>
      <c r="G106" s="28">
        <v>43360</v>
      </c>
      <c r="H106" s="8">
        <v>1</v>
      </c>
      <c r="I106" s="27" t="s">
        <v>23</v>
      </c>
      <c r="J106" s="27" t="s">
        <v>24</v>
      </c>
      <c r="K106" s="27" t="s">
        <v>1446</v>
      </c>
    </row>
    <row r="107" spans="1:11" x14ac:dyDescent="0.3">
      <c r="A107" s="27" t="s">
        <v>858</v>
      </c>
      <c r="B107" s="27" t="s">
        <v>1222</v>
      </c>
      <c r="C107" s="27" t="s">
        <v>1371</v>
      </c>
      <c r="D107" s="27" t="s">
        <v>28</v>
      </c>
      <c r="E107" s="27" t="s">
        <v>78</v>
      </c>
      <c r="F107" s="8">
        <v>80695.740000000005</v>
      </c>
      <c r="G107" s="28">
        <v>43360</v>
      </c>
      <c r="H107" s="8">
        <v>1</v>
      </c>
      <c r="I107" s="27" t="s">
        <v>23</v>
      </c>
      <c r="J107" s="27" t="s">
        <v>115</v>
      </c>
      <c r="K107" s="27" t="s">
        <v>1484</v>
      </c>
    </row>
    <row r="108" spans="1:11" x14ac:dyDescent="0.3">
      <c r="A108" s="27" t="s">
        <v>808</v>
      </c>
      <c r="B108" s="27" t="s">
        <v>1456</v>
      </c>
      <c r="C108" s="27" t="s">
        <v>1457</v>
      </c>
      <c r="D108" s="27" t="s">
        <v>28</v>
      </c>
      <c r="E108" s="27" t="s">
        <v>39</v>
      </c>
      <c r="F108" s="8">
        <v>80360.41</v>
      </c>
      <c r="G108" s="28">
        <v>44167</v>
      </c>
      <c r="H108" s="8">
        <v>1</v>
      </c>
      <c r="I108" s="27" t="s">
        <v>23</v>
      </c>
      <c r="J108" s="27" t="s">
        <v>35</v>
      </c>
      <c r="K108" s="27" t="s">
        <v>1458</v>
      </c>
    </row>
    <row r="109" spans="1:11" x14ac:dyDescent="0.3">
      <c r="A109" s="27" t="s">
        <v>189</v>
      </c>
      <c r="B109" s="27" t="s">
        <v>1115</v>
      </c>
      <c r="C109" s="27" t="s">
        <v>1116</v>
      </c>
      <c r="D109" s="27" t="s">
        <v>20</v>
      </c>
      <c r="E109" s="27" t="s">
        <v>21</v>
      </c>
      <c r="F109" s="8">
        <v>80169.42</v>
      </c>
      <c r="G109" s="28">
        <v>44053</v>
      </c>
      <c r="H109" s="8">
        <v>1</v>
      </c>
      <c r="I109" s="27" t="s">
        <v>23</v>
      </c>
      <c r="J109" s="27" t="s">
        <v>55</v>
      </c>
      <c r="K109" s="27" t="s">
        <v>1117</v>
      </c>
    </row>
    <row r="110" spans="1:11" x14ac:dyDescent="0.3">
      <c r="A110" s="27" t="s">
        <v>355</v>
      </c>
      <c r="B110" s="27" t="s">
        <v>1209</v>
      </c>
      <c r="C110" s="27" t="s">
        <v>1210</v>
      </c>
      <c r="D110" s="27" t="s">
        <v>28</v>
      </c>
      <c r="E110" s="27" t="s">
        <v>34</v>
      </c>
      <c r="F110" s="29">
        <v>80169.42</v>
      </c>
      <c r="G110" s="28">
        <v>44053</v>
      </c>
      <c r="H110" s="8">
        <v>1</v>
      </c>
      <c r="I110" s="27" t="s">
        <v>23</v>
      </c>
      <c r="J110" s="27" t="s">
        <v>47</v>
      </c>
      <c r="K110" s="27" t="s">
        <v>1211</v>
      </c>
    </row>
    <row r="111" spans="1:11" x14ac:dyDescent="0.3">
      <c r="A111" s="27" t="s">
        <v>224</v>
      </c>
      <c r="B111" s="27" t="s">
        <v>1136</v>
      </c>
      <c r="C111" s="27" t="s">
        <v>1137</v>
      </c>
      <c r="D111" s="27" t="s">
        <v>20</v>
      </c>
      <c r="E111" s="27" t="s">
        <v>34</v>
      </c>
      <c r="F111" s="29">
        <v>79567.69</v>
      </c>
      <c r="G111" s="28">
        <v>43272</v>
      </c>
      <c r="H111" s="8">
        <v>1</v>
      </c>
      <c r="I111" s="27" t="s">
        <v>41</v>
      </c>
      <c r="J111" s="27" t="s">
        <v>35</v>
      </c>
      <c r="K111" s="27" t="s">
        <v>1138</v>
      </c>
    </row>
    <row r="112" spans="1:11" x14ac:dyDescent="0.3">
      <c r="A112" s="27" t="s">
        <v>124</v>
      </c>
      <c r="B112" s="27" t="s">
        <v>1053</v>
      </c>
      <c r="C112" s="27" t="s">
        <v>1071</v>
      </c>
      <c r="D112" s="27" t="s">
        <v>20</v>
      </c>
      <c r="E112" s="27" t="s">
        <v>29</v>
      </c>
      <c r="F112" s="8">
        <v>78840.23</v>
      </c>
      <c r="G112" s="28">
        <v>43633</v>
      </c>
      <c r="H112" s="8">
        <v>1</v>
      </c>
      <c r="I112" s="27" t="s">
        <v>85</v>
      </c>
      <c r="J112" s="27" t="s">
        <v>115</v>
      </c>
      <c r="K112" s="27" t="s">
        <v>1072</v>
      </c>
    </row>
    <row r="113" spans="1:11" x14ac:dyDescent="0.3">
      <c r="A113" s="27" t="s">
        <v>727</v>
      </c>
      <c r="B113" s="27" t="s">
        <v>1418</v>
      </c>
      <c r="C113" s="27" t="s">
        <v>1419</v>
      </c>
      <c r="D113" s="27" t="s">
        <v>20</v>
      </c>
      <c r="E113" s="27" t="s">
        <v>45</v>
      </c>
      <c r="F113" s="8">
        <v>78705.929999999993</v>
      </c>
      <c r="G113" s="28">
        <v>43409</v>
      </c>
      <c r="H113" s="8">
        <v>1</v>
      </c>
      <c r="I113" s="27" t="s">
        <v>41</v>
      </c>
      <c r="J113" s="27" t="s">
        <v>47</v>
      </c>
      <c r="K113" s="27" t="s">
        <v>1420</v>
      </c>
    </row>
    <row r="114" spans="1:11" x14ac:dyDescent="0.3">
      <c r="A114" s="27" t="s">
        <v>694</v>
      </c>
      <c r="B114" s="27" t="s">
        <v>1403</v>
      </c>
      <c r="C114" s="27" t="s">
        <v>1199</v>
      </c>
      <c r="D114" s="27" t="s">
        <v>28</v>
      </c>
      <c r="E114" s="27" t="s">
        <v>21</v>
      </c>
      <c r="F114" s="8">
        <v>78443.78</v>
      </c>
      <c r="G114" s="28">
        <v>43599</v>
      </c>
      <c r="H114" s="8">
        <v>1</v>
      </c>
      <c r="I114" s="27" t="s">
        <v>41</v>
      </c>
      <c r="J114" s="27" t="s">
        <v>24</v>
      </c>
      <c r="K114" s="27" t="s">
        <v>697</v>
      </c>
    </row>
    <row r="115" spans="1:11" x14ac:dyDescent="0.3">
      <c r="A115" s="27" t="s">
        <v>942</v>
      </c>
      <c r="B115" s="27" t="s">
        <v>1028</v>
      </c>
      <c r="C115" s="27" t="s">
        <v>1029</v>
      </c>
      <c r="D115" s="27" t="s">
        <v>28</v>
      </c>
      <c r="E115" s="27" t="s">
        <v>21</v>
      </c>
      <c r="F115" s="8">
        <v>78378.2</v>
      </c>
      <c r="G115" s="28">
        <v>43465</v>
      </c>
      <c r="H115" s="8">
        <v>0.4</v>
      </c>
      <c r="I115" s="27" t="s">
        <v>23</v>
      </c>
      <c r="J115" s="27" t="s">
        <v>115</v>
      </c>
      <c r="K115" s="27" t="s">
        <v>1520</v>
      </c>
    </row>
    <row r="116" spans="1:11" x14ac:dyDescent="0.3">
      <c r="A116" s="27" t="s">
        <v>975</v>
      </c>
      <c r="B116" s="27" t="s">
        <v>1536</v>
      </c>
      <c r="C116" s="27" t="s">
        <v>1537</v>
      </c>
      <c r="D116" s="27" t="s">
        <v>28</v>
      </c>
      <c r="E116" s="27" t="s">
        <v>34</v>
      </c>
      <c r="F116" s="29">
        <v>78020.39</v>
      </c>
      <c r="G116" s="28">
        <v>43899</v>
      </c>
      <c r="H116" s="8">
        <v>1</v>
      </c>
      <c r="I116" s="27" t="s">
        <v>23</v>
      </c>
      <c r="J116" s="27" t="s">
        <v>35</v>
      </c>
      <c r="K116" s="27" t="s">
        <v>977</v>
      </c>
    </row>
    <row r="117" spans="1:11" x14ac:dyDescent="0.3">
      <c r="A117" s="27" t="s">
        <v>878</v>
      </c>
      <c r="B117" s="27" t="s">
        <v>1493</v>
      </c>
      <c r="C117" s="27" t="s">
        <v>1162</v>
      </c>
      <c r="D117" s="27" t="s">
        <v>20</v>
      </c>
      <c r="E117" s="27" t="s">
        <v>68</v>
      </c>
      <c r="F117" s="8">
        <v>77743.149999999994</v>
      </c>
      <c r="G117" s="28">
        <v>43920</v>
      </c>
      <c r="H117" s="8">
        <v>1</v>
      </c>
      <c r="I117" s="27" t="s">
        <v>23</v>
      </c>
      <c r="J117" s="27" t="s">
        <v>74</v>
      </c>
      <c r="K117" s="27" t="s">
        <v>1494</v>
      </c>
    </row>
    <row r="118" spans="1:11" x14ac:dyDescent="0.3">
      <c r="A118" s="27" t="s">
        <v>872</v>
      </c>
      <c r="B118" s="27" t="s">
        <v>1031</v>
      </c>
      <c r="C118" s="27" t="s">
        <v>1319</v>
      </c>
      <c r="D118" s="27" t="s">
        <v>28</v>
      </c>
      <c r="E118" s="27" t="s">
        <v>29</v>
      </c>
      <c r="F118" s="8">
        <v>77096.05</v>
      </c>
      <c r="G118" s="28">
        <v>43217</v>
      </c>
      <c r="H118" s="8">
        <v>1</v>
      </c>
      <c r="I118" s="27" t="s">
        <v>23</v>
      </c>
      <c r="J118" s="27" t="s">
        <v>24</v>
      </c>
      <c r="K118" s="27" t="s">
        <v>1490</v>
      </c>
    </row>
    <row r="119" spans="1:11" x14ac:dyDescent="0.3">
      <c r="A119" s="27" t="s">
        <v>812</v>
      </c>
      <c r="B119" s="27" t="s">
        <v>1437</v>
      </c>
      <c r="C119" s="27" t="s">
        <v>1173</v>
      </c>
      <c r="D119" s="27" t="s">
        <v>20</v>
      </c>
      <c r="E119" s="27" t="s">
        <v>83</v>
      </c>
      <c r="F119" s="8">
        <v>77045.440000000002</v>
      </c>
      <c r="G119" s="28">
        <v>43636</v>
      </c>
      <c r="H119" s="8">
        <v>1</v>
      </c>
      <c r="I119" s="27" t="s">
        <v>23</v>
      </c>
      <c r="J119" s="27" t="s">
        <v>74</v>
      </c>
      <c r="K119" s="27" t="s">
        <v>1459</v>
      </c>
    </row>
    <row r="120" spans="1:11" x14ac:dyDescent="0.3">
      <c r="A120" s="27" t="s">
        <v>388</v>
      </c>
      <c r="B120" s="27" t="s">
        <v>1172</v>
      </c>
      <c r="C120" s="27" t="s">
        <v>1225</v>
      </c>
      <c r="D120" s="27" t="s">
        <v>28</v>
      </c>
      <c r="E120" s="27" t="s">
        <v>29</v>
      </c>
      <c r="F120" s="8">
        <v>76932.600000000006</v>
      </c>
      <c r="G120" s="28">
        <v>43493</v>
      </c>
      <c r="H120" s="8">
        <v>1</v>
      </c>
      <c r="I120" s="27" t="s">
        <v>23</v>
      </c>
      <c r="J120" s="27" t="s">
        <v>47</v>
      </c>
      <c r="K120" s="27" t="s">
        <v>1226</v>
      </c>
    </row>
    <row r="121" spans="1:11" x14ac:dyDescent="0.3">
      <c r="A121" s="27" t="s">
        <v>147</v>
      </c>
      <c r="B121" s="27" t="s">
        <v>1006</v>
      </c>
      <c r="C121" s="27" t="s">
        <v>1087</v>
      </c>
      <c r="D121" s="27" t="s">
        <v>20</v>
      </c>
      <c r="E121" s="27" t="s">
        <v>34</v>
      </c>
      <c r="F121" s="29">
        <v>76320.44</v>
      </c>
      <c r="G121" s="28">
        <v>44383</v>
      </c>
      <c r="H121" s="8">
        <v>0.8</v>
      </c>
      <c r="I121" s="27" t="s">
        <v>85</v>
      </c>
      <c r="J121" s="27" t="s">
        <v>24</v>
      </c>
      <c r="K121" s="27" t="s">
        <v>1088</v>
      </c>
    </row>
    <row r="122" spans="1:11" x14ac:dyDescent="0.3">
      <c r="A122" s="27" t="s">
        <v>495</v>
      </c>
      <c r="B122" s="27" t="s">
        <v>1012</v>
      </c>
      <c r="C122" s="27" t="s">
        <v>1216</v>
      </c>
      <c r="D122" s="27" t="s">
        <v>28</v>
      </c>
      <c r="E122" s="27" t="s">
        <v>39</v>
      </c>
      <c r="F122" s="8">
        <v>76303.820000000007</v>
      </c>
      <c r="G122" s="28">
        <v>43458</v>
      </c>
      <c r="H122" s="8">
        <v>1</v>
      </c>
      <c r="I122" s="27" t="s">
        <v>41</v>
      </c>
      <c r="J122" s="27" t="s">
        <v>55</v>
      </c>
      <c r="K122" s="27" t="s">
        <v>1287</v>
      </c>
    </row>
    <row r="123" spans="1:11" x14ac:dyDescent="0.3">
      <c r="A123" s="27" t="s">
        <v>676</v>
      </c>
      <c r="B123" s="27" t="s">
        <v>1393</v>
      </c>
      <c r="C123" s="27" t="s">
        <v>1394</v>
      </c>
      <c r="D123" s="27" t="s">
        <v>20</v>
      </c>
      <c r="E123" s="27" t="s">
        <v>21</v>
      </c>
      <c r="F123" s="8">
        <v>76303.820000000007</v>
      </c>
      <c r="G123" s="28">
        <v>43458</v>
      </c>
      <c r="H123" s="8">
        <v>1</v>
      </c>
      <c r="I123" s="27" t="s">
        <v>41</v>
      </c>
      <c r="J123" s="27" t="s">
        <v>115</v>
      </c>
      <c r="K123" s="27" t="s">
        <v>678</v>
      </c>
    </row>
    <row r="124" spans="1:11" x14ac:dyDescent="0.3">
      <c r="A124" s="27" t="s">
        <v>408</v>
      </c>
      <c r="B124" s="27" t="s">
        <v>1237</v>
      </c>
      <c r="C124" s="27" t="s">
        <v>1238</v>
      </c>
      <c r="D124" s="27" t="s">
        <v>20</v>
      </c>
      <c r="E124" s="27" t="s">
        <v>34</v>
      </c>
      <c r="F124" s="29">
        <v>75974.990000000005</v>
      </c>
      <c r="G124" s="28">
        <v>44172</v>
      </c>
      <c r="H124" s="8">
        <v>1</v>
      </c>
      <c r="I124" s="27" t="s">
        <v>23</v>
      </c>
      <c r="J124" s="27" t="s">
        <v>107</v>
      </c>
      <c r="K124" s="27" t="s">
        <v>1239</v>
      </c>
    </row>
    <row r="125" spans="1:11" x14ac:dyDescent="0.3">
      <c r="A125" s="27" t="s">
        <v>373</v>
      </c>
      <c r="B125" s="27" t="s">
        <v>1110</v>
      </c>
      <c r="C125" s="27" t="s">
        <v>1051</v>
      </c>
      <c r="D125" s="27" t="s">
        <v>20</v>
      </c>
      <c r="E125" s="27" t="s">
        <v>21</v>
      </c>
      <c r="F125" s="8">
        <v>75733.740000000005</v>
      </c>
      <c r="G125" s="28">
        <v>44382</v>
      </c>
      <c r="H125" s="8">
        <v>1</v>
      </c>
      <c r="I125" s="27" t="s">
        <v>23</v>
      </c>
      <c r="J125" s="27" t="s">
        <v>47</v>
      </c>
      <c r="K125" s="27" t="s">
        <v>376</v>
      </c>
    </row>
    <row r="126" spans="1:11" x14ac:dyDescent="0.3">
      <c r="A126" s="27" t="s">
        <v>338</v>
      </c>
      <c r="B126" s="27" t="s">
        <v>1196</v>
      </c>
      <c r="C126" s="27" t="s">
        <v>1197</v>
      </c>
      <c r="D126" s="27" t="s">
        <v>28</v>
      </c>
      <c r="E126" s="27" t="s">
        <v>39</v>
      </c>
      <c r="F126" s="8">
        <v>75475.929999999993</v>
      </c>
      <c r="G126" s="28">
        <v>43794</v>
      </c>
      <c r="H126" s="8">
        <v>1</v>
      </c>
      <c r="I126" s="27" t="s">
        <v>23</v>
      </c>
      <c r="J126" s="27" t="s">
        <v>55</v>
      </c>
      <c r="K126" s="27" t="s">
        <v>341</v>
      </c>
    </row>
    <row r="127" spans="1:11" x14ac:dyDescent="0.3">
      <c r="A127" s="27" t="s">
        <v>520</v>
      </c>
      <c r="B127" s="27" t="s">
        <v>1303</v>
      </c>
      <c r="C127" s="27" t="s">
        <v>1304</v>
      </c>
      <c r="D127" s="27" t="s">
        <v>28</v>
      </c>
      <c r="E127" s="27" t="s">
        <v>21</v>
      </c>
      <c r="F127" s="8">
        <v>74924.649999999994</v>
      </c>
      <c r="G127" s="28">
        <v>44239</v>
      </c>
      <c r="H127" s="8">
        <v>1</v>
      </c>
      <c r="I127" s="27" t="s">
        <v>23</v>
      </c>
      <c r="J127" s="27" t="s">
        <v>24</v>
      </c>
      <c r="K127" s="27" t="s">
        <v>523</v>
      </c>
    </row>
    <row r="128" spans="1:11" x14ac:dyDescent="0.3">
      <c r="A128" s="27" t="s">
        <v>60</v>
      </c>
      <c r="B128" s="27" t="s">
        <v>1028</v>
      </c>
      <c r="C128" s="27" t="s">
        <v>1029</v>
      </c>
      <c r="D128" s="27" t="s">
        <v>28</v>
      </c>
      <c r="E128" s="27" t="s">
        <v>21</v>
      </c>
      <c r="F128" s="8">
        <v>74279.009999999995</v>
      </c>
      <c r="G128" s="28">
        <v>43466</v>
      </c>
      <c r="H128" s="8">
        <v>1</v>
      </c>
      <c r="I128" s="27" t="s">
        <v>23</v>
      </c>
      <c r="J128" s="27" t="s">
        <v>35</v>
      </c>
      <c r="K128" s="27" t="s">
        <v>1030</v>
      </c>
    </row>
    <row r="129" spans="1:11" x14ac:dyDescent="0.3">
      <c r="A129" s="27" t="s">
        <v>686</v>
      </c>
      <c r="B129" s="27" t="s">
        <v>1327</v>
      </c>
      <c r="C129" s="27" t="s">
        <v>1281</v>
      </c>
      <c r="D129" s="27" t="s">
        <v>28</v>
      </c>
      <c r="E129" s="27" t="s">
        <v>39</v>
      </c>
      <c r="F129" s="8">
        <v>73488.679999999993</v>
      </c>
      <c r="G129" s="28">
        <v>43570</v>
      </c>
      <c r="H129" s="8">
        <v>1</v>
      </c>
      <c r="I129" s="27" t="s">
        <v>41</v>
      </c>
      <c r="J129" s="27" t="s">
        <v>24</v>
      </c>
      <c r="K129" s="27" t="s">
        <v>1400</v>
      </c>
    </row>
    <row r="130" spans="1:11" x14ac:dyDescent="0.3">
      <c r="A130" s="27" t="s">
        <v>150</v>
      </c>
      <c r="B130" s="27" t="s">
        <v>1089</v>
      </c>
      <c r="C130" s="27" t="s">
        <v>1090</v>
      </c>
      <c r="D130" s="27" t="s">
        <v>20</v>
      </c>
      <c r="E130" s="27" t="s">
        <v>34</v>
      </c>
      <c r="F130" s="29">
        <v>73360.38</v>
      </c>
      <c r="G130" s="28">
        <v>43972</v>
      </c>
      <c r="H130" s="8">
        <v>1</v>
      </c>
      <c r="I130" s="27" t="s">
        <v>85</v>
      </c>
      <c r="J130" s="27" t="s">
        <v>35</v>
      </c>
      <c r="K130" s="27" t="s">
        <v>1091</v>
      </c>
    </row>
    <row r="131" spans="1:11" x14ac:dyDescent="0.3">
      <c r="A131" s="27" t="s">
        <v>673</v>
      </c>
      <c r="B131" s="27" t="s">
        <v>1390</v>
      </c>
      <c r="C131" s="27" t="s">
        <v>1391</v>
      </c>
      <c r="D131" s="27" t="s">
        <v>28</v>
      </c>
      <c r="E131" s="27" t="s">
        <v>34</v>
      </c>
      <c r="F131" s="29">
        <v>73360.38</v>
      </c>
      <c r="G131" s="28">
        <v>43972</v>
      </c>
      <c r="H131" s="8">
        <v>1</v>
      </c>
      <c r="I131" s="27" t="s">
        <v>85</v>
      </c>
      <c r="J131" s="27" t="s">
        <v>55</v>
      </c>
      <c r="K131" s="27" t="s">
        <v>1392</v>
      </c>
    </row>
    <row r="132" spans="1:11" x14ac:dyDescent="0.3">
      <c r="A132" s="27" t="s">
        <v>255</v>
      </c>
      <c r="B132" s="27" t="s">
        <v>1151</v>
      </c>
      <c r="C132" s="27" t="s">
        <v>1111</v>
      </c>
      <c r="D132" s="27" t="s">
        <v>20</v>
      </c>
      <c r="E132" s="27" t="s">
        <v>39</v>
      </c>
      <c r="F132" s="8">
        <v>72876.91</v>
      </c>
      <c r="G132" s="28">
        <v>43612</v>
      </c>
      <c r="H132" s="8">
        <v>0.4</v>
      </c>
      <c r="I132" s="27" t="s">
        <v>41</v>
      </c>
      <c r="J132" s="27" t="s">
        <v>24</v>
      </c>
      <c r="K132" s="27" t="s">
        <v>1152</v>
      </c>
    </row>
    <row r="133" spans="1:11" x14ac:dyDescent="0.3">
      <c r="A133" s="27" t="s">
        <v>956</v>
      </c>
      <c r="B133" s="27" t="s">
        <v>1526</v>
      </c>
      <c r="C133" s="27" t="s">
        <v>1037</v>
      </c>
      <c r="D133" s="27" t="s">
        <v>20</v>
      </c>
      <c r="E133" s="27" t="s">
        <v>45</v>
      </c>
      <c r="F133" s="8">
        <v>72876.91</v>
      </c>
      <c r="G133" s="28">
        <v>43837</v>
      </c>
      <c r="H133" s="8">
        <v>1</v>
      </c>
      <c r="I133" s="27" t="s">
        <v>23</v>
      </c>
      <c r="J133" s="27" t="s">
        <v>74</v>
      </c>
      <c r="K133" s="27" t="s">
        <v>1527</v>
      </c>
    </row>
    <row r="134" spans="1:11" x14ac:dyDescent="0.3">
      <c r="A134" s="27" t="s">
        <v>475</v>
      </c>
      <c r="B134" s="27" t="s">
        <v>1273</v>
      </c>
      <c r="C134" s="27" t="s">
        <v>1274</v>
      </c>
      <c r="D134" s="27" t="s">
        <v>28</v>
      </c>
      <c r="E134" s="27" t="s">
        <v>68</v>
      </c>
      <c r="F134" s="8">
        <v>72843.23</v>
      </c>
      <c r="G134" s="28">
        <v>43280</v>
      </c>
      <c r="H134" s="8">
        <v>1</v>
      </c>
      <c r="I134" s="27" t="s">
        <v>41</v>
      </c>
      <c r="J134" s="27" t="s">
        <v>115</v>
      </c>
      <c r="K134" s="27" t="s">
        <v>1275</v>
      </c>
    </row>
    <row r="135" spans="1:11" x14ac:dyDescent="0.3">
      <c r="A135" s="27" t="s">
        <v>786</v>
      </c>
      <c r="B135" s="27" t="s">
        <v>1447</v>
      </c>
      <c r="C135" s="27" t="s">
        <v>1448</v>
      </c>
      <c r="D135" s="27" t="s">
        <v>28</v>
      </c>
      <c r="E135" s="27" t="s">
        <v>83</v>
      </c>
      <c r="F135" s="8">
        <v>72502.61</v>
      </c>
      <c r="G135" s="28">
        <v>44235</v>
      </c>
      <c r="H135" s="8">
        <v>1</v>
      </c>
      <c r="I135" s="27" t="s">
        <v>23</v>
      </c>
      <c r="J135" s="27" t="s">
        <v>74</v>
      </c>
      <c r="K135" s="27" t="s">
        <v>1449</v>
      </c>
    </row>
    <row r="136" spans="1:11" x14ac:dyDescent="0.3">
      <c r="A136" s="27" t="s">
        <v>534</v>
      </c>
      <c r="B136" s="27" t="s">
        <v>1050</v>
      </c>
      <c r="C136" s="27" t="s">
        <v>1311</v>
      </c>
      <c r="D136" s="27" t="s">
        <v>20</v>
      </c>
      <c r="E136" s="27" t="s">
        <v>45</v>
      </c>
      <c r="F136" s="8">
        <v>71924.850000000006</v>
      </c>
      <c r="G136" s="28">
        <v>43822</v>
      </c>
      <c r="H136" s="8">
        <v>1</v>
      </c>
      <c r="I136" s="27" t="s">
        <v>23</v>
      </c>
      <c r="J136" s="27" t="s">
        <v>55</v>
      </c>
      <c r="K136" s="27" t="s">
        <v>1312</v>
      </c>
    </row>
    <row r="137" spans="1:11" x14ac:dyDescent="0.3">
      <c r="A137" s="27" t="s">
        <v>377</v>
      </c>
      <c r="B137" s="27" t="s">
        <v>1028</v>
      </c>
      <c r="C137" s="27" t="s">
        <v>1221</v>
      </c>
      <c r="D137" s="27" t="s">
        <v>20</v>
      </c>
      <c r="E137" s="27" t="s">
        <v>68</v>
      </c>
      <c r="F137" s="8">
        <v>71823.56</v>
      </c>
      <c r="G137" s="28">
        <v>43374</v>
      </c>
      <c r="H137" s="8">
        <v>0.3</v>
      </c>
      <c r="I137" s="27" t="s">
        <v>85</v>
      </c>
      <c r="J137" s="27" t="s">
        <v>55</v>
      </c>
      <c r="K137" s="27" t="s">
        <v>380</v>
      </c>
    </row>
    <row r="138" spans="1:11" x14ac:dyDescent="0.3">
      <c r="A138" s="27" t="s">
        <v>478</v>
      </c>
      <c r="B138" s="27" t="s">
        <v>1219</v>
      </c>
      <c r="C138" s="27" t="s">
        <v>1276</v>
      </c>
      <c r="D138" s="27" t="s">
        <v>20</v>
      </c>
      <c r="E138" s="27" t="s">
        <v>29</v>
      </c>
      <c r="F138" s="8">
        <v>71823.56</v>
      </c>
      <c r="G138" s="28">
        <v>43374</v>
      </c>
      <c r="H138" s="8">
        <v>0.3</v>
      </c>
      <c r="I138" s="27" t="s">
        <v>85</v>
      </c>
      <c r="J138" s="27" t="s">
        <v>55</v>
      </c>
      <c r="K138" s="27" t="s">
        <v>1277</v>
      </c>
    </row>
    <row r="139" spans="1:11" x14ac:dyDescent="0.3">
      <c r="A139" s="27" t="s">
        <v>120</v>
      </c>
      <c r="B139" s="27" t="s">
        <v>1068</v>
      </c>
      <c r="C139" s="27" t="s">
        <v>1069</v>
      </c>
      <c r="D139" s="27" t="s">
        <v>20</v>
      </c>
      <c r="E139" s="27" t="s">
        <v>34</v>
      </c>
      <c r="F139" s="29">
        <v>71570.990000000005</v>
      </c>
      <c r="G139" s="28">
        <v>44249</v>
      </c>
      <c r="H139" s="8">
        <v>0.5</v>
      </c>
      <c r="I139" s="27" t="s">
        <v>23</v>
      </c>
      <c r="J139" s="27" t="s">
        <v>115</v>
      </c>
      <c r="K139" s="27" t="s">
        <v>1070</v>
      </c>
    </row>
    <row r="140" spans="1:11" x14ac:dyDescent="0.3">
      <c r="A140" s="27" t="s">
        <v>416</v>
      </c>
      <c r="B140" s="27" t="s">
        <v>1243</v>
      </c>
      <c r="C140" s="27" t="s">
        <v>1244</v>
      </c>
      <c r="D140" s="27" t="s">
        <v>28</v>
      </c>
      <c r="E140" s="27" t="s">
        <v>45</v>
      </c>
      <c r="F140" s="8">
        <v>71371.37</v>
      </c>
      <c r="G140" s="28">
        <v>43392</v>
      </c>
      <c r="H140" s="8">
        <v>1</v>
      </c>
      <c r="I140" s="27" t="s">
        <v>23</v>
      </c>
      <c r="J140" s="27" t="s">
        <v>107</v>
      </c>
      <c r="K140" s="27" t="s">
        <v>418</v>
      </c>
    </row>
    <row r="141" spans="1:11" x14ac:dyDescent="0.3">
      <c r="A141" s="27" t="s">
        <v>780</v>
      </c>
      <c r="B141" s="27" t="s">
        <v>1273</v>
      </c>
      <c r="C141" s="27" t="s">
        <v>1207</v>
      </c>
      <c r="D141" s="27" t="s">
        <v>20</v>
      </c>
      <c r="E141" s="27" t="s">
        <v>83</v>
      </c>
      <c r="F141" s="8">
        <v>71229.42</v>
      </c>
      <c r="G141" s="28">
        <v>44166</v>
      </c>
      <c r="H141" s="8">
        <v>1</v>
      </c>
      <c r="I141" s="27" t="s">
        <v>23</v>
      </c>
      <c r="J141" s="27" t="s">
        <v>74</v>
      </c>
      <c r="K141" s="27" t="s">
        <v>1444</v>
      </c>
    </row>
    <row r="142" spans="1:11" x14ac:dyDescent="0.3">
      <c r="A142" s="27" t="s">
        <v>669</v>
      </c>
      <c r="B142" s="27" t="s">
        <v>1009</v>
      </c>
      <c r="C142" s="27" t="s">
        <v>1243</v>
      </c>
      <c r="D142" s="27" t="s">
        <v>28</v>
      </c>
      <c r="E142" s="27" t="s">
        <v>78</v>
      </c>
      <c r="F142" s="8">
        <v>70755.5</v>
      </c>
      <c r="G142" s="28">
        <v>44090</v>
      </c>
      <c r="H142" s="8">
        <v>0.8</v>
      </c>
      <c r="I142" s="27" t="s">
        <v>85</v>
      </c>
      <c r="J142" s="27" t="s">
        <v>115</v>
      </c>
      <c r="K142" s="27" t="s">
        <v>1389</v>
      </c>
    </row>
    <row r="143" spans="1:11" x14ac:dyDescent="0.3">
      <c r="A143" s="27" t="s">
        <v>369</v>
      </c>
      <c r="B143" s="27" t="s">
        <v>1219</v>
      </c>
      <c r="C143" s="27" t="s">
        <v>1220</v>
      </c>
      <c r="D143" s="27" t="s">
        <v>28</v>
      </c>
      <c r="E143" s="27" t="s">
        <v>68</v>
      </c>
      <c r="F143" s="8">
        <v>70649.460000000006</v>
      </c>
      <c r="G143" s="28">
        <v>43843</v>
      </c>
      <c r="H143" s="8">
        <v>1</v>
      </c>
      <c r="I143" s="27" t="s">
        <v>23</v>
      </c>
      <c r="J143" s="27" t="s">
        <v>30</v>
      </c>
      <c r="K143" s="27" t="s">
        <v>372</v>
      </c>
    </row>
    <row r="144" spans="1:11" x14ac:dyDescent="0.3">
      <c r="A144" s="27" t="s">
        <v>99</v>
      </c>
      <c r="B144" s="27" t="s">
        <v>1053</v>
      </c>
      <c r="C144" s="27" t="s">
        <v>1054</v>
      </c>
      <c r="D144" s="27" t="s">
        <v>28</v>
      </c>
      <c r="E144" s="27" t="s">
        <v>83</v>
      </c>
      <c r="F144" s="8">
        <v>69913.39</v>
      </c>
      <c r="G144" s="28">
        <v>43584</v>
      </c>
      <c r="H144" s="8">
        <v>1</v>
      </c>
      <c r="I144" s="27" t="s">
        <v>23</v>
      </c>
      <c r="J144" s="27" t="s">
        <v>47</v>
      </c>
      <c r="K144" s="27" t="s">
        <v>1055</v>
      </c>
    </row>
    <row r="145" spans="1:11" x14ac:dyDescent="0.3">
      <c r="A145" s="27" t="s">
        <v>840</v>
      </c>
      <c r="B145" s="27" t="s">
        <v>1472</v>
      </c>
      <c r="C145" s="27" t="s">
        <v>1473</v>
      </c>
      <c r="D145" s="27" t="s">
        <v>20</v>
      </c>
      <c r="E145" s="27" t="s">
        <v>21</v>
      </c>
      <c r="F145" s="8">
        <v>69862.38</v>
      </c>
      <c r="G145" s="28">
        <v>43458</v>
      </c>
      <c r="H145" s="8">
        <v>1</v>
      </c>
      <c r="I145" s="27" t="s">
        <v>23</v>
      </c>
      <c r="J145" s="27" t="s">
        <v>24</v>
      </c>
      <c r="K145" s="27" t="s">
        <v>1474</v>
      </c>
    </row>
    <row r="146" spans="1:11" x14ac:dyDescent="0.3">
      <c r="A146" s="27" t="s">
        <v>588</v>
      </c>
      <c r="B146" s="27" t="s">
        <v>1204</v>
      </c>
      <c r="C146" s="27" t="s">
        <v>1345</v>
      </c>
      <c r="D146" s="27" t="s">
        <v>28</v>
      </c>
      <c r="E146" s="27" t="s">
        <v>68</v>
      </c>
      <c r="F146" s="8">
        <v>69764.100000000006</v>
      </c>
      <c r="G146" s="28">
        <v>44195</v>
      </c>
      <c r="H146" s="8">
        <v>1</v>
      </c>
      <c r="I146" s="27" t="s">
        <v>41</v>
      </c>
      <c r="J146" s="27" t="s">
        <v>24</v>
      </c>
      <c r="K146" s="27" t="s">
        <v>1346</v>
      </c>
    </row>
    <row r="147" spans="1:11" x14ac:dyDescent="0.3">
      <c r="A147" s="27" t="s">
        <v>865</v>
      </c>
      <c r="B147" s="27" t="s">
        <v>1485</v>
      </c>
      <c r="C147" s="27" t="s">
        <v>1098</v>
      </c>
      <c r="D147" s="27" t="s">
        <v>20</v>
      </c>
      <c r="E147" s="27" t="s">
        <v>45</v>
      </c>
      <c r="F147" s="8">
        <v>69709.509999999995</v>
      </c>
      <c r="G147" s="28">
        <v>43472</v>
      </c>
      <c r="H147" s="8">
        <v>1</v>
      </c>
      <c r="I147" s="27" t="s">
        <v>23</v>
      </c>
      <c r="J147" s="27" t="s">
        <v>24</v>
      </c>
      <c r="K147" s="27" t="s">
        <v>1486</v>
      </c>
    </row>
    <row r="148" spans="1:11" x14ac:dyDescent="0.3">
      <c r="A148" s="27" t="s">
        <v>76</v>
      </c>
      <c r="B148" s="27" t="s">
        <v>1038</v>
      </c>
      <c r="C148" s="27" t="s">
        <v>1039</v>
      </c>
      <c r="D148" s="27" t="s">
        <v>28</v>
      </c>
      <c r="E148" s="27" t="s">
        <v>78</v>
      </c>
      <c r="F148" s="8">
        <v>69192.850000000006</v>
      </c>
      <c r="G148" s="28">
        <v>44305</v>
      </c>
      <c r="H148" s="8">
        <v>1</v>
      </c>
      <c r="I148" s="27" t="s">
        <v>23</v>
      </c>
      <c r="J148" s="27" t="s">
        <v>55</v>
      </c>
      <c r="K148" s="27" t="s">
        <v>1040</v>
      </c>
    </row>
    <row r="149" spans="1:11" x14ac:dyDescent="0.3">
      <c r="A149" s="27" t="s">
        <v>174</v>
      </c>
      <c r="B149" s="27" t="s">
        <v>1105</v>
      </c>
      <c r="C149" s="27" t="s">
        <v>1106</v>
      </c>
      <c r="D149" s="27" t="s">
        <v>20</v>
      </c>
      <c r="E149" s="27" t="s">
        <v>29</v>
      </c>
      <c r="F149" s="8">
        <v>69163.39</v>
      </c>
      <c r="G149" s="28">
        <v>43397</v>
      </c>
      <c r="H149" s="8">
        <v>1</v>
      </c>
      <c r="I149" s="27" t="s">
        <v>23</v>
      </c>
      <c r="J149" s="27" t="s">
        <v>47</v>
      </c>
      <c r="K149" s="27" t="s">
        <v>1107</v>
      </c>
    </row>
    <row r="150" spans="1:11" x14ac:dyDescent="0.3">
      <c r="A150" s="27" t="s">
        <v>715</v>
      </c>
      <c r="B150" s="27" t="s">
        <v>1172</v>
      </c>
      <c r="C150" s="27" t="s">
        <v>1412</v>
      </c>
      <c r="D150" s="27" t="s">
        <v>20</v>
      </c>
      <c r="E150" s="27" t="s">
        <v>21</v>
      </c>
      <c r="F150" s="8">
        <v>69163.39</v>
      </c>
      <c r="G150" s="28">
        <v>43397</v>
      </c>
      <c r="H150" s="8">
        <v>1</v>
      </c>
      <c r="I150" s="27" t="s">
        <v>23</v>
      </c>
      <c r="J150" s="27" t="s">
        <v>35</v>
      </c>
      <c r="K150" s="27" t="s">
        <v>1413</v>
      </c>
    </row>
    <row r="151" spans="1:11" x14ac:dyDescent="0.3">
      <c r="A151" s="27" t="s">
        <v>272</v>
      </c>
      <c r="B151" s="27" t="s">
        <v>1159</v>
      </c>
      <c r="C151" s="27" t="s">
        <v>1160</v>
      </c>
      <c r="D151" s="27" t="s">
        <v>20</v>
      </c>
      <c r="E151" s="27" t="s">
        <v>78</v>
      </c>
      <c r="F151" s="8">
        <v>69057.320000000007</v>
      </c>
      <c r="G151" s="28">
        <v>43390</v>
      </c>
      <c r="H151" s="8">
        <v>1</v>
      </c>
      <c r="I151" s="27" t="s">
        <v>23</v>
      </c>
      <c r="J151" s="27" t="s">
        <v>107</v>
      </c>
      <c r="K151" s="27" t="s">
        <v>1161</v>
      </c>
    </row>
    <row r="152" spans="1:11" x14ac:dyDescent="0.3">
      <c r="A152" s="27" t="s">
        <v>655</v>
      </c>
      <c r="B152" s="27" t="s">
        <v>1380</v>
      </c>
      <c r="C152" s="27" t="s">
        <v>1060</v>
      </c>
      <c r="D152" s="27" t="s">
        <v>28</v>
      </c>
      <c r="E152" s="27" t="s">
        <v>68</v>
      </c>
      <c r="F152" s="8">
        <v>69057.320000000007</v>
      </c>
      <c r="G152" s="28">
        <v>43390</v>
      </c>
      <c r="H152" s="8">
        <v>1</v>
      </c>
      <c r="I152" s="27" t="s">
        <v>23</v>
      </c>
      <c r="J152" s="27" t="s">
        <v>74</v>
      </c>
      <c r="K152" s="27" t="s">
        <v>1381</v>
      </c>
    </row>
    <row r="153" spans="1:11" x14ac:dyDescent="0.3">
      <c r="A153" s="27" t="s">
        <v>63</v>
      </c>
      <c r="B153" s="27" t="s">
        <v>1031</v>
      </c>
      <c r="C153" s="27" t="s">
        <v>1032</v>
      </c>
      <c r="D153" s="27" t="s">
        <v>28</v>
      </c>
      <c r="E153" s="27" t="s">
        <v>39</v>
      </c>
      <c r="F153" s="8">
        <v>68980.52</v>
      </c>
      <c r="G153" s="28">
        <v>43494</v>
      </c>
      <c r="H153" s="8">
        <v>0.8</v>
      </c>
      <c r="I153" s="27" t="s">
        <v>23</v>
      </c>
      <c r="J153" s="27" t="s">
        <v>47</v>
      </c>
      <c r="K153" s="27" t="s">
        <v>65</v>
      </c>
    </row>
    <row r="154" spans="1:11" x14ac:dyDescent="0.3">
      <c r="A154" s="27" t="s">
        <v>445</v>
      </c>
      <c r="B154" s="27" t="s">
        <v>1252</v>
      </c>
      <c r="C154" s="27" t="s">
        <v>1253</v>
      </c>
      <c r="D154" s="27" t="s">
        <v>20</v>
      </c>
      <c r="E154" s="27" t="s">
        <v>83</v>
      </c>
      <c r="F154" s="8">
        <v>68887.839999999997</v>
      </c>
      <c r="G154" s="28">
        <v>43297</v>
      </c>
      <c r="H154" s="8">
        <v>1</v>
      </c>
      <c r="I154" s="27" t="s">
        <v>23</v>
      </c>
      <c r="J154" s="27" t="s">
        <v>30</v>
      </c>
      <c r="K154" s="27" t="s">
        <v>1254</v>
      </c>
    </row>
    <row r="155" spans="1:11" x14ac:dyDescent="0.3">
      <c r="A155" s="27" t="s">
        <v>221</v>
      </c>
      <c r="B155" s="27" t="s">
        <v>1133</v>
      </c>
      <c r="C155" s="27" t="s">
        <v>1134</v>
      </c>
      <c r="D155" s="27" t="s">
        <v>28</v>
      </c>
      <c r="E155" s="27" t="s">
        <v>45</v>
      </c>
      <c r="F155" s="8">
        <v>68860.399999999994</v>
      </c>
      <c r="G155" s="28">
        <v>43508</v>
      </c>
      <c r="H155" s="8">
        <v>0.4</v>
      </c>
      <c r="I155" s="27" t="s">
        <v>23</v>
      </c>
      <c r="J155" s="27" t="s">
        <v>74</v>
      </c>
      <c r="K155" s="27" t="s">
        <v>1135</v>
      </c>
    </row>
    <row r="156" spans="1:11" x14ac:dyDescent="0.3">
      <c r="A156" s="27" t="s">
        <v>721</v>
      </c>
      <c r="B156" s="27" t="s">
        <v>1415</v>
      </c>
      <c r="C156" s="27" t="s">
        <v>1416</v>
      </c>
      <c r="D156" s="27" t="s">
        <v>28</v>
      </c>
      <c r="E156" s="27" t="s">
        <v>34</v>
      </c>
      <c r="F156" s="29">
        <v>68795.48</v>
      </c>
      <c r="G156" s="28">
        <v>44277</v>
      </c>
      <c r="H156" s="8">
        <v>0.2</v>
      </c>
      <c r="I156" s="27" t="s">
        <v>23</v>
      </c>
      <c r="J156" s="27" t="s">
        <v>115</v>
      </c>
      <c r="K156" s="27" t="s">
        <v>1417</v>
      </c>
    </row>
    <row r="157" spans="1:11" x14ac:dyDescent="0.3">
      <c r="A157" s="27" t="s">
        <v>771</v>
      </c>
      <c r="B157" s="27" t="s">
        <v>1408</v>
      </c>
      <c r="C157" s="27" t="s">
        <v>1207</v>
      </c>
      <c r="D157" s="27" t="s">
        <v>20</v>
      </c>
      <c r="E157" s="27" t="s">
        <v>21</v>
      </c>
      <c r="F157" s="8">
        <v>68795.48</v>
      </c>
      <c r="G157" s="28">
        <v>44277</v>
      </c>
      <c r="H157" s="8">
        <v>0.2</v>
      </c>
      <c r="I157" s="27" t="s">
        <v>23</v>
      </c>
      <c r="J157" s="27" t="s">
        <v>55</v>
      </c>
      <c r="K157" s="27" t="s">
        <v>1441</v>
      </c>
    </row>
    <row r="158" spans="1:11" x14ac:dyDescent="0.3">
      <c r="A158" s="27" t="s">
        <v>789</v>
      </c>
      <c r="B158" s="27" t="s">
        <v>1450</v>
      </c>
      <c r="C158" s="27" t="s">
        <v>1451</v>
      </c>
      <c r="D158" s="27" t="s">
        <v>20</v>
      </c>
      <c r="E158" s="27" t="s">
        <v>83</v>
      </c>
      <c r="F158" s="8">
        <v>68197.899999999994</v>
      </c>
      <c r="G158" s="28">
        <v>44119</v>
      </c>
      <c r="H158" s="8">
        <v>1</v>
      </c>
      <c r="I158" s="27" t="s">
        <v>23</v>
      </c>
      <c r="J158" s="27" t="s">
        <v>30</v>
      </c>
      <c r="K158" s="27" t="s">
        <v>1452</v>
      </c>
    </row>
    <row r="159" spans="1:11" x14ac:dyDescent="0.3">
      <c r="A159" s="27" t="s">
        <v>517</v>
      </c>
      <c r="B159" s="27" t="s">
        <v>1300</v>
      </c>
      <c r="C159" s="27" t="s">
        <v>1301</v>
      </c>
      <c r="D159" s="27" t="s">
        <v>28</v>
      </c>
      <c r="E159" s="27" t="s">
        <v>68</v>
      </c>
      <c r="F159" s="8">
        <v>68008.55</v>
      </c>
      <c r="G159" s="28">
        <v>44062</v>
      </c>
      <c r="H159" s="8">
        <v>1</v>
      </c>
      <c r="I159" s="27" t="s">
        <v>23</v>
      </c>
      <c r="J159" s="27" t="s">
        <v>107</v>
      </c>
      <c r="K159" s="27" t="s">
        <v>1302</v>
      </c>
    </row>
    <row r="160" spans="1:11" x14ac:dyDescent="0.3">
      <c r="A160" s="27" t="s">
        <v>298</v>
      </c>
      <c r="B160" s="27" t="s">
        <v>1172</v>
      </c>
      <c r="C160" s="27" t="s">
        <v>1173</v>
      </c>
      <c r="D160" s="27" t="s">
        <v>1003</v>
      </c>
      <c r="E160" s="27" t="s">
        <v>39</v>
      </c>
      <c r="F160" s="8">
        <v>67957.899999999994</v>
      </c>
      <c r="G160" s="28">
        <v>43430</v>
      </c>
      <c r="H160" s="8">
        <v>1</v>
      </c>
      <c r="I160" s="27" t="s">
        <v>23</v>
      </c>
      <c r="J160" s="27" t="s">
        <v>24</v>
      </c>
      <c r="K160" s="27" t="s">
        <v>1174</v>
      </c>
    </row>
    <row r="161" spans="1:11" x14ac:dyDescent="0.3">
      <c r="A161" s="27" t="s">
        <v>837</v>
      </c>
      <c r="B161" s="27" t="s">
        <v>1267</v>
      </c>
      <c r="C161" s="27" t="s">
        <v>1471</v>
      </c>
      <c r="D161" s="27" t="s">
        <v>20</v>
      </c>
      <c r="E161" s="27" t="s">
        <v>39</v>
      </c>
      <c r="F161" s="8">
        <v>67905.8</v>
      </c>
      <c r="G161" s="28">
        <v>44194</v>
      </c>
      <c r="H161" s="8">
        <v>1</v>
      </c>
      <c r="I161" s="27" t="s">
        <v>23</v>
      </c>
      <c r="J161" s="27" t="s">
        <v>107</v>
      </c>
      <c r="K161" s="27" t="s">
        <v>839</v>
      </c>
    </row>
    <row r="162" spans="1:11" x14ac:dyDescent="0.3">
      <c r="A162" s="27" t="s">
        <v>207</v>
      </c>
      <c r="B162" s="27" t="s">
        <v>1124</v>
      </c>
      <c r="C162" s="27" t="s">
        <v>1029</v>
      </c>
      <c r="D162" s="27" t="s">
        <v>28</v>
      </c>
      <c r="E162" s="27" t="s">
        <v>21</v>
      </c>
      <c r="F162" s="8">
        <v>67818.14</v>
      </c>
      <c r="G162" s="28">
        <v>43406</v>
      </c>
      <c r="H162" s="8">
        <v>0.6</v>
      </c>
      <c r="I162" s="27" t="s">
        <v>41</v>
      </c>
      <c r="J162" s="27" t="s">
        <v>74</v>
      </c>
      <c r="K162" s="27" t="s">
        <v>210</v>
      </c>
    </row>
    <row r="163" spans="1:11" x14ac:dyDescent="0.3">
      <c r="A163" s="27" t="s">
        <v>875</v>
      </c>
      <c r="B163" s="27" t="s">
        <v>1098</v>
      </c>
      <c r="C163" s="27" t="s">
        <v>1491</v>
      </c>
      <c r="D163" s="27" t="s">
        <v>20</v>
      </c>
      <c r="E163" s="27" t="s">
        <v>45</v>
      </c>
      <c r="F163" s="8">
        <v>67818.14</v>
      </c>
      <c r="G163" s="28">
        <v>43406</v>
      </c>
      <c r="H163" s="8">
        <v>0.6</v>
      </c>
      <c r="I163" s="27" t="s">
        <v>41</v>
      </c>
      <c r="J163" s="27" t="s">
        <v>115</v>
      </c>
      <c r="K163" s="27" t="s">
        <v>1492</v>
      </c>
    </row>
    <row r="164" spans="1:11" x14ac:dyDescent="0.3">
      <c r="A164" s="27" t="s">
        <v>459</v>
      </c>
      <c r="B164" s="27" t="s">
        <v>1262</v>
      </c>
      <c r="C164" s="27" t="s">
        <v>1054</v>
      </c>
      <c r="D164" s="27" t="s">
        <v>20</v>
      </c>
      <c r="E164" s="27" t="s">
        <v>45</v>
      </c>
      <c r="F164" s="8">
        <v>67633.850000000006</v>
      </c>
      <c r="G164" s="28">
        <v>43340</v>
      </c>
      <c r="H164" s="8">
        <v>1</v>
      </c>
      <c r="I164" s="27" t="s">
        <v>23</v>
      </c>
      <c r="J164" s="27" t="s">
        <v>30</v>
      </c>
      <c r="K164" s="27" t="s">
        <v>1263</v>
      </c>
    </row>
    <row r="165" spans="1:11" x14ac:dyDescent="0.3">
      <c r="A165" s="27" t="s">
        <v>279</v>
      </c>
      <c r="B165" s="27" t="s">
        <v>1164</v>
      </c>
      <c r="C165" s="27" t="s">
        <v>1165</v>
      </c>
      <c r="D165" s="27" t="s">
        <v>28</v>
      </c>
      <c r="E165" s="27" t="s">
        <v>68</v>
      </c>
      <c r="F165" s="8">
        <v>66865.490000000005</v>
      </c>
      <c r="G165" s="28">
        <v>43514</v>
      </c>
      <c r="H165" s="8">
        <v>1</v>
      </c>
      <c r="I165" s="27" t="s">
        <v>23</v>
      </c>
      <c r="J165" s="27" t="s">
        <v>24</v>
      </c>
      <c r="K165" s="27" t="s">
        <v>282</v>
      </c>
    </row>
    <row r="166" spans="1:11" x14ac:dyDescent="0.3">
      <c r="A166" s="27" t="s">
        <v>628</v>
      </c>
      <c r="B166" s="27" t="s">
        <v>1365</v>
      </c>
      <c r="C166" s="27" t="s">
        <v>1216</v>
      </c>
      <c r="D166" s="27" t="s">
        <v>20</v>
      </c>
      <c r="E166" s="27" t="s">
        <v>45</v>
      </c>
      <c r="F166" s="8">
        <v>66865.490000000005</v>
      </c>
      <c r="G166" s="28">
        <v>43514</v>
      </c>
      <c r="H166" s="8">
        <v>1</v>
      </c>
      <c r="I166" s="27" t="s">
        <v>23</v>
      </c>
      <c r="J166" s="27" t="s">
        <v>55</v>
      </c>
      <c r="K166" s="27" t="s">
        <v>1366</v>
      </c>
    </row>
    <row r="167" spans="1:11" x14ac:dyDescent="0.3">
      <c r="A167" s="27" t="s">
        <v>384</v>
      </c>
      <c r="B167" s="27" t="s">
        <v>1110</v>
      </c>
      <c r="C167" s="27" t="s">
        <v>1224</v>
      </c>
      <c r="D167" s="27" t="s">
        <v>28</v>
      </c>
      <c r="E167" s="27" t="s">
        <v>39</v>
      </c>
      <c r="F167" s="8">
        <v>66572.58</v>
      </c>
      <c r="G167" s="28">
        <v>44193</v>
      </c>
      <c r="H167" s="8">
        <v>1</v>
      </c>
      <c r="I167" s="27" t="s">
        <v>23</v>
      </c>
      <c r="J167" s="27" t="s">
        <v>115</v>
      </c>
      <c r="K167" s="27" t="s">
        <v>387</v>
      </c>
    </row>
    <row r="168" spans="1:11" x14ac:dyDescent="0.3">
      <c r="A168" s="27" t="s">
        <v>947</v>
      </c>
      <c r="B168" s="27" t="s">
        <v>1386</v>
      </c>
      <c r="C168" s="27" t="s">
        <v>1522</v>
      </c>
      <c r="D168" s="27" t="s">
        <v>28</v>
      </c>
      <c r="E168" s="27" t="s">
        <v>78</v>
      </c>
      <c r="F168" s="8">
        <v>66572.58</v>
      </c>
      <c r="G168" s="28">
        <v>44193</v>
      </c>
      <c r="H168" s="8">
        <v>1</v>
      </c>
      <c r="I168" s="27" t="s">
        <v>23</v>
      </c>
      <c r="J168" s="27" t="s">
        <v>55</v>
      </c>
      <c r="K168" s="27" t="s">
        <v>1523</v>
      </c>
    </row>
    <row r="169" spans="1:11" x14ac:dyDescent="0.3">
      <c r="A169" s="27" t="s">
        <v>57</v>
      </c>
      <c r="B169" s="27" t="s">
        <v>1025</v>
      </c>
      <c r="C169" s="27" t="s">
        <v>1026</v>
      </c>
      <c r="D169" s="27" t="s">
        <v>28</v>
      </c>
      <c r="E169" s="27" t="s">
        <v>29</v>
      </c>
      <c r="F169" s="8">
        <v>66017.179999999993</v>
      </c>
      <c r="G169" s="28">
        <v>43643</v>
      </c>
      <c r="H169" s="8">
        <v>0.9</v>
      </c>
      <c r="I169" s="27" t="s">
        <v>23</v>
      </c>
      <c r="J169" s="27" t="s">
        <v>35</v>
      </c>
      <c r="K169" s="27" t="s">
        <v>1027</v>
      </c>
    </row>
    <row r="170" spans="1:11" x14ac:dyDescent="0.3">
      <c r="A170" s="27" t="s">
        <v>304</v>
      </c>
      <c r="B170" s="27" t="s">
        <v>1176</v>
      </c>
      <c r="C170" s="27" t="s">
        <v>1042</v>
      </c>
      <c r="D170" s="27" t="s">
        <v>20</v>
      </c>
      <c r="E170" s="27" t="s">
        <v>29</v>
      </c>
      <c r="F170" s="8">
        <v>65699.02</v>
      </c>
      <c r="G170" s="28">
        <v>43951</v>
      </c>
      <c r="H170" s="8">
        <v>1</v>
      </c>
      <c r="I170" s="27" t="s">
        <v>23</v>
      </c>
      <c r="J170" s="27" t="s">
        <v>30</v>
      </c>
      <c r="K170" s="27" t="s">
        <v>307</v>
      </c>
    </row>
    <row r="171" spans="1:11" x14ac:dyDescent="0.3">
      <c r="A171" s="27" t="s">
        <v>896</v>
      </c>
      <c r="B171" s="27" t="s">
        <v>1503</v>
      </c>
      <c r="C171" s="27" t="s">
        <v>1080</v>
      </c>
      <c r="D171" s="27" t="s">
        <v>20</v>
      </c>
      <c r="E171" s="27" t="s">
        <v>45</v>
      </c>
      <c r="F171" s="8">
        <v>65569.36</v>
      </c>
      <c r="G171" s="28">
        <v>43293</v>
      </c>
      <c r="H171" s="8">
        <v>1</v>
      </c>
      <c r="I171" s="27" t="s">
        <v>41</v>
      </c>
      <c r="J171" s="27" t="s">
        <v>30</v>
      </c>
      <c r="K171" s="27" t="s">
        <v>1504</v>
      </c>
    </row>
    <row r="172" spans="1:11" x14ac:dyDescent="0.3">
      <c r="A172" s="27" t="s">
        <v>262</v>
      </c>
      <c r="B172" s="27" t="s">
        <v>1154</v>
      </c>
      <c r="C172" s="27" t="s">
        <v>1155</v>
      </c>
      <c r="D172" s="27" t="s">
        <v>20</v>
      </c>
      <c r="E172" s="27" t="s">
        <v>39</v>
      </c>
      <c r="F172" s="8">
        <v>63705.4</v>
      </c>
      <c r="G172" s="28">
        <v>43682</v>
      </c>
      <c r="H172" s="8">
        <v>1</v>
      </c>
      <c r="I172" s="27" t="s">
        <v>23</v>
      </c>
      <c r="J172" s="27" t="s">
        <v>35</v>
      </c>
      <c r="K172" s="27" t="s">
        <v>1156</v>
      </c>
    </row>
    <row r="173" spans="1:11" x14ac:dyDescent="0.3">
      <c r="A173" s="27" t="s">
        <v>200</v>
      </c>
      <c r="B173" s="27" t="s">
        <v>1012</v>
      </c>
      <c r="C173" s="27" t="s">
        <v>1120</v>
      </c>
      <c r="D173" s="27" t="s">
        <v>20</v>
      </c>
      <c r="E173" s="27" t="s">
        <v>83</v>
      </c>
      <c r="F173" s="8">
        <v>63555.73</v>
      </c>
      <c r="G173" s="28">
        <v>44159</v>
      </c>
      <c r="H173" s="8">
        <v>1</v>
      </c>
      <c r="I173" s="27" t="s">
        <v>23</v>
      </c>
      <c r="J173" s="27" t="s">
        <v>30</v>
      </c>
      <c r="K173" s="27" t="s">
        <v>203</v>
      </c>
    </row>
    <row r="174" spans="1:11" x14ac:dyDescent="0.3">
      <c r="A174" s="27" t="s">
        <v>563</v>
      </c>
      <c r="B174" s="27" t="s">
        <v>1329</v>
      </c>
      <c r="C174" s="27" t="s">
        <v>1330</v>
      </c>
      <c r="D174" s="27" t="s">
        <v>28</v>
      </c>
      <c r="E174" s="27" t="s">
        <v>21</v>
      </c>
      <c r="F174" s="8">
        <v>63447.07</v>
      </c>
      <c r="G174" s="28">
        <v>44148</v>
      </c>
      <c r="H174" s="8">
        <v>1</v>
      </c>
      <c r="I174" s="27" t="s">
        <v>85</v>
      </c>
      <c r="J174" s="27" t="s">
        <v>74</v>
      </c>
      <c r="K174" s="27" t="s">
        <v>1331</v>
      </c>
    </row>
    <row r="175" spans="1:11" x14ac:dyDescent="0.3">
      <c r="A175" s="27" t="s">
        <v>741</v>
      </c>
      <c r="B175" s="27" t="s">
        <v>1426</v>
      </c>
      <c r="C175" s="27" t="s">
        <v>1427</v>
      </c>
      <c r="D175" s="27" t="s">
        <v>28</v>
      </c>
      <c r="E175" s="27" t="s">
        <v>34</v>
      </c>
      <c r="F175" s="29">
        <v>62281.24</v>
      </c>
      <c r="G175" s="28">
        <v>43272</v>
      </c>
      <c r="H175" s="8">
        <v>1</v>
      </c>
      <c r="I175" s="27" t="s">
        <v>23</v>
      </c>
      <c r="J175" s="27" t="s">
        <v>107</v>
      </c>
      <c r="K175" s="27" t="s">
        <v>1428</v>
      </c>
    </row>
    <row r="176" spans="1:11" x14ac:dyDescent="0.3">
      <c r="A176" s="27" t="s">
        <v>112</v>
      </c>
      <c r="B176" s="27" t="s">
        <v>1062</v>
      </c>
      <c r="C176" s="27" t="s">
        <v>1063</v>
      </c>
      <c r="D176" s="27" t="s">
        <v>20</v>
      </c>
      <c r="E176" s="27" t="s">
        <v>83</v>
      </c>
      <c r="F176" s="8">
        <v>62195.47</v>
      </c>
      <c r="G176" s="28">
        <v>44434</v>
      </c>
      <c r="H176" s="8">
        <v>1</v>
      </c>
      <c r="I176" s="27" t="s">
        <v>23</v>
      </c>
      <c r="J176" s="27" t="s">
        <v>115</v>
      </c>
      <c r="K176" s="27" t="s">
        <v>1064</v>
      </c>
    </row>
    <row r="177" spans="1:11" x14ac:dyDescent="0.3">
      <c r="A177" s="27" t="s">
        <v>127</v>
      </c>
      <c r="B177" s="27" t="s">
        <v>1073</v>
      </c>
      <c r="C177" s="27" t="s">
        <v>1074</v>
      </c>
      <c r="D177" s="27" t="s">
        <v>28</v>
      </c>
      <c r="E177" s="27" t="s">
        <v>83</v>
      </c>
      <c r="F177" s="8">
        <v>61994.76</v>
      </c>
      <c r="G177" s="28">
        <v>43794</v>
      </c>
      <c r="H177" s="8">
        <v>0.3</v>
      </c>
      <c r="I177" s="27" t="s">
        <v>23</v>
      </c>
      <c r="J177" s="27" t="s">
        <v>115</v>
      </c>
      <c r="K177" s="27" t="s">
        <v>1075</v>
      </c>
    </row>
    <row r="178" spans="1:11" x14ac:dyDescent="0.3">
      <c r="A178" s="27" t="s">
        <v>599</v>
      </c>
      <c r="B178" s="27" t="s">
        <v>1352</v>
      </c>
      <c r="C178" s="27" t="s">
        <v>1076</v>
      </c>
      <c r="D178" s="27" t="s">
        <v>20</v>
      </c>
      <c r="E178" s="27" t="s">
        <v>45</v>
      </c>
      <c r="F178" s="8">
        <v>61688.77</v>
      </c>
      <c r="G178" s="28">
        <v>43346</v>
      </c>
      <c r="H178" s="8">
        <v>0.9</v>
      </c>
      <c r="I178" s="27" t="s">
        <v>23</v>
      </c>
      <c r="J178" s="27" t="s">
        <v>74</v>
      </c>
      <c r="K178" s="27" t="s">
        <v>1353</v>
      </c>
    </row>
    <row r="179" spans="1:11" x14ac:dyDescent="0.3">
      <c r="A179" s="27" t="s">
        <v>648</v>
      </c>
      <c r="B179" s="27" t="s">
        <v>1375</v>
      </c>
      <c r="C179" s="27" t="s">
        <v>1376</v>
      </c>
      <c r="D179" s="27" t="s">
        <v>20</v>
      </c>
      <c r="E179" s="27" t="s">
        <v>78</v>
      </c>
      <c r="F179" s="8">
        <v>61624.77</v>
      </c>
      <c r="G179" s="28">
        <v>43430</v>
      </c>
      <c r="H179" s="8">
        <v>0.3</v>
      </c>
      <c r="I179" s="27" t="s">
        <v>41</v>
      </c>
      <c r="J179" s="27" t="s">
        <v>74</v>
      </c>
      <c r="K179" s="27" t="s">
        <v>1377</v>
      </c>
    </row>
    <row r="180" spans="1:11" x14ac:dyDescent="0.3">
      <c r="A180" s="27" t="s">
        <v>81</v>
      </c>
      <c r="B180" s="27" t="s">
        <v>1041</v>
      </c>
      <c r="C180" s="27" t="s">
        <v>1042</v>
      </c>
      <c r="D180" s="27" t="s">
        <v>28</v>
      </c>
      <c r="E180" s="27" t="s">
        <v>83</v>
      </c>
      <c r="F180" s="8">
        <v>61214.26</v>
      </c>
      <c r="G180" s="28">
        <v>43171</v>
      </c>
      <c r="H180" s="8">
        <v>1</v>
      </c>
      <c r="I180" s="27" t="s">
        <v>85</v>
      </c>
      <c r="J180" s="27" t="s">
        <v>55</v>
      </c>
      <c r="K180" s="27" t="s">
        <v>1043</v>
      </c>
    </row>
    <row r="181" spans="1:11" x14ac:dyDescent="0.3">
      <c r="A181" s="27" t="s">
        <v>861</v>
      </c>
      <c r="B181" s="27" t="s">
        <v>1415</v>
      </c>
      <c r="C181" s="27" t="s">
        <v>1330</v>
      </c>
      <c r="D181" s="27" t="s">
        <v>28</v>
      </c>
      <c r="E181" s="27" t="s">
        <v>39</v>
      </c>
      <c r="F181" s="8">
        <v>61213.01</v>
      </c>
      <c r="G181" s="28">
        <v>44365</v>
      </c>
      <c r="H181" s="8">
        <v>1</v>
      </c>
      <c r="I181" s="27" t="s">
        <v>23</v>
      </c>
      <c r="J181" s="27" t="s">
        <v>55</v>
      </c>
      <c r="K181" s="27" t="s">
        <v>864</v>
      </c>
    </row>
    <row r="182" spans="1:11" x14ac:dyDescent="0.3">
      <c r="A182" s="27" t="s">
        <v>265</v>
      </c>
      <c r="B182" s="27" t="s">
        <v>1076</v>
      </c>
      <c r="C182" s="27" t="s">
        <v>1056</v>
      </c>
      <c r="D182" s="27" t="s">
        <v>20</v>
      </c>
      <c r="E182" s="27" t="s">
        <v>21</v>
      </c>
      <c r="F182" s="8">
        <v>59434.18</v>
      </c>
      <c r="G182" s="28">
        <v>43931</v>
      </c>
      <c r="H182" s="8">
        <v>1</v>
      </c>
      <c r="I182" s="27" t="s">
        <v>85</v>
      </c>
      <c r="J182" s="27" t="s">
        <v>35</v>
      </c>
      <c r="K182" s="27" t="s">
        <v>1157</v>
      </c>
    </row>
    <row r="183" spans="1:11" x14ac:dyDescent="0.3">
      <c r="A183" s="27" t="s">
        <v>392</v>
      </c>
      <c r="B183" s="27" t="s">
        <v>1227</v>
      </c>
      <c r="C183" s="27" t="s">
        <v>1048</v>
      </c>
      <c r="D183" s="27" t="s">
        <v>20</v>
      </c>
      <c r="E183" s="27" t="s">
        <v>83</v>
      </c>
      <c r="F183" s="8">
        <v>59258.19</v>
      </c>
      <c r="G183" s="28">
        <v>43452</v>
      </c>
      <c r="H183" s="8">
        <v>0.8</v>
      </c>
      <c r="I183" s="27" t="s">
        <v>23</v>
      </c>
      <c r="J183" s="27" t="s">
        <v>115</v>
      </c>
      <c r="K183" s="27" t="s">
        <v>1228</v>
      </c>
    </row>
    <row r="184" spans="1:11" x14ac:dyDescent="0.3">
      <c r="A184" s="27" t="s">
        <v>658</v>
      </c>
      <c r="B184" s="27" t="s">
        <v>1382</v>
      </c>
      <c r="C184" s="27" t="s">
        <v>1383</v>
      </c>
      <c r="D184" s="27" t="s">
        <v>28</v>
      </c>
      <c r="E184" s="27" t="s">
        <v>21</v>
      </c>
      <c r="F184" s="8">
        <v>59258.19</v>
      </c>
      <c r="G184" s="28">
        <v>43452</v>
      </c>
      <c r="H184" s="8">
        <v>0.8</v>
      </c>
      <c r="I184" s="27" t="s">
        <v>23</v>
      </c>
      <c r="J184" s="27" t="s">
        <v>55</v>
      </c>
      <c r="K184" s="27" t="s">
        <v>1384</v>
      </c>
    </row>
    <row r="185" spans="1:11" x14ac:dyDescent="0.3">
      <c r="A185" s="27" t="s">
        <v>196</v>
      </c>
      <c r="B185" s="27" t="s">
        <v>1118</v>
      </c>
      <c r="C185" s="27" t="s">
        <v>1085</v>
      </c>
      <c r="D185" s="27" t="s">
        <v>20</v>
      </c>
      <c r="E185" s="27" t="s">
        <v>39</v>
      </c>
      <c r="F185" s="8">
        <v>58935.92</v>
      </c>
      <c r="G185" s="28">
        <v>43717</v>
      </c>
      <c r="H185" s="8">
        <v>1</v>
      </c>
      <c r="I185" s="27" t="s">
        <v>85</v>
      </c>
      <c r="J185" s="27" t="s">
        <v>115</v>
      </c>
      <c r="K185" s="27" t="s">
        <v>1119</v>
      </c>
    </row>
    <row r="186" spans="1:11" x14ac:dyDescent="0.3">
      <c r="A186" s="27" t="s">
        <v>679</v>
      </c>
      <c r="B186" s="27" t="s">
        <v>1395</v>
      </c>
      <c r="C186" s="27" t="s">
        <v>1396</v>
      </c>
      <c r="D186" s="27" t="s">
        <v>28</v>
      </c>
      <c r="E186" s="27" t="s">
        <v>29</v>
      </c>
      <c r="F186" s="8">
        <v>58861.19</v>
      </c>
      <c r="G186" s="28">
        <v>43654</v>
      </c>
      <c r="H186" s="8">
        <v>1</v>
      </c>
      <c r="I186" s="27" t="s">
        <v>23</v>
      </c>
      <c r="J186" s="27" t="s">
        <v>107</v>
      </c>
      <c r="K186" s="27" t="s">
        <v>1397</v>
      </c>
    </row>
    <row r="187" spans="1:11" x14ac:dyDescent="0.3">
      <c r="A187" s="27" t="s">
        <v>683</v>
      </c>
      <c r="B187" s="27" t="s">
        <v>1206</v>
      </c>
      <c r="C187" s="27" t="s">
        <v>1398</v>
      </c>
      <c r="D187" s="27" t="s">
        <v>28</v>
      </c>
      <c r="E187" s="27" t="s">
        <v>39</v>
      </c>
      <c r="F187" s="8">
        <v>58744.17</v>
      </c>
      <c r="G187" s="28">
        <v>43171</v>
      </c>
      <c r="H187" s="8">
        <v>1</v>
      </c>
      <c r="I187" s="27" t="s">
        <v>85</v>
      </c>
      <c r="J187" s="27" t="s">
        <v>74</v>
      </c>
      <c r="K187" s="27" t="s">
        <v>1399</v>
      </c>
    </row>
    <row r="188" spans="1:11" x14ac:dyDescent="0.3">
      <c r="A188" s="27" t="s">
        <v>744</v>
      </c>
      <c r="B188" s="27" t="s">
        <v>1429</v>
      </c>
      <c r="C188" s="27" t="s">
        <v>1430</v>
      </c>
      <c r="D188" s="27" t="s">
        <v>28</v>
      </c>
      <c r="E188" s="27" t="s">
        <v>78</v>
      </c>
      <c r="F188" s="8">
        <v>57925.91</v>
      </c>
      <c r="G188" s="28">
        <v>43572</v>
      </c>
      <c r="H188" s="8">
        <v>0.5</v>
      </c>
      <c r="I188" s="27" t="s">
        <v>23</v>
      </c>
      <c r="J188" s="27" t="s">
        <v>47</v>
      </c>
      <c r="K188" s="27" t="s">
        <v>1431</v>
      </c>
    </row>
    <row r="189" spans="1:11" x14ac:dyDescent="0.3">
      <c r="A189" s="27" t="s">
        <v>204</v>
      </c>
      <c r="B189" s="27" t="s">
        <v>1121</v>
      </c>
      <c r="C189" s="27" t="s">
        <v>1122</v>
      </c>
      <c r="D189" s="27" t="s">
        <v>28</v>
      </c>
      <c r="E189" s="27" t="s">
        <v>83</v>
      </c>
      <c r="F189" s="8">
        <v>57419.35</v>
      </c>
      <c r="G189" s="28">
        <v>43305</v>
      </c>
      <c r="H189" s="8">
        <v>1</v>
      </c>
      <c r="I189" s="27" t="s">
        <v>41</v>
      </c>
      <c r="J189" s="27" t="s">
        <v>47</v>
      </c>
      <c r="K189" s="27" t="s">
        <v>1123</v>
      </c>
    </row>
    <row r="190" spans="1:11" x14ac:dyDescent="0.3">
      <c r="A190" s="27" t="s">
        <v>43</v>
      </c>
      <c r="B190" s="27" t="s">
        <v>1017</v>
      </c>
      <c r="C190" s="27" t="s">
        <v>1018</v>
      </c>
      <c r="D190" s="27" t="s">
        <v>20</v>
      </c>
      <c r="E190" s="27" t="s">
        <v>45</v>
      </c>
      <c r="F190" s="8">
        <v>57002.02</v>
      </c>
      <c r="G190" s="28">
        <v>43192</v>
      </c>
      <c r="H190" s="8">
        <v>0.7</v>
      </c>
      <c r="I190" s="27" t="s">
        <v>23</v>
      </c>
      <c r="J190" s="27" t="s">
        <v>47</v>
      </c>
      <c r="K190" s="27" t="s">
        <v>1019</v>
      </c>
    </row>
    <row r="191" spans="1:11" x14ac:dyDescent="0.3">
      <c r="A191" s="27" t="s">
        <v>909</v>
      </c>
      <c r="B191" s="27" t="s">
        <v>1031</v>
      </c>
      <c r="C191" s="27" t="s">
        <v>1341</v>
      </c>
      <c r="D191" s="27" t="s">
        <v>20</v>
      </c>
      <c r="E191" s="27" t="s">
        <v>78</v>
      </c>
      <c r="F191" s="8">
        <v>56253.81</v>
      </c>
      <c r="G191" s="28">
        <v>44421</v>
      </c>
      <c r="H191" s="8">
        <v>1</v>
      </c>
      <c r="I191" s="27" t="s">
        <v>23</v>
      </c>
      <c r="J191" s="27" t="s">
        <v>35</v>
      </c>
      <c r="K191" s="27" t="s">
        <v>1508</v>
      </c>
    </row>
    <row r="192" spans="1:11" x14ac:dyDescent="0.3">
      <c r="A192" s="27" t="s">
        <v>87</v>
      </c>
      <c r="B192" s="27" t="s">
        <v>1044</v>
      </c>
      <c r="C192" s="27" t="s">
        <v>1045</v>
      </c>
      <c r="D192" s="27" t="s">
        <v>20</v>
      </c>
      <c r="E192" s="27" t="s">
        <v>29</v>
      </c>
      <c r="F192" s="8">
        <v>54137.05</v>
      </c>
      <c r="G192" s="28">
        <v>43763</v>
      </c>
      <c r="H192" s="8">
        <v>1</v>
      </c>
      <c r="I192" s="27" t="s">
        <v>23</v>
      </c>
      <c r="J192" s="27" t="s">
        <v>47</v>
      </c>
      <c r="K192" s="27" t="s">
        <v>1046</v>
      </c>
    </row>
    <row r="193" spans="1:11" x14ac:dyDescent="0.3">
      <c r="A193" s="27" t="s">
        <v>161</v>
      </c>
      <c r="B193" s="27" t="s">
        <v>1095</v>
      </c>
      <c r="C193" s="27" t="s">
        <v>1096</v>
      </c>
      <c r="D193" s="27" t="s">
        <v>1003</v>
      </c>
      <c r="E193" s="27" t="s">
        <v>83</v>
      </c>
      <c r="F193" s="8">
        <v>53949.26</v>
      </c>
      <c r="G193" s="28">
        <v>43808</v>
      </c>
      <c r="H193" s="8">
        <v>1</v>
      </c>
      <c r="I193" s="27" t="s">
        <v>85</v>
      </c>
      <c r="J193" s="27" t="s">
        <v>107</v>
      </c>
      <c r="K193" s="27" t="s">
        <v>1097</v>
      </c>
    </row>
    <row r="194" spans="1:11" x14ac:dyDescent="0.3">
      <c r="A194" s="27" t="s">
        <v>193</v>
      </c>
      <c r="B194" s="27" t="s">
        <v>1092</v>
      </c>
      <c r="C194" s="27" t="s">
        <v>1085</v>
      </c>
      <c r="D194" s="27" t="s">
        <v>28</v>
      </c>
      <c r="E194" s="27" t="s">
        <v>68</v>
      </c>
      <c r="F194" s="8">
        <v>53949.26</v>
      </c>
      <c r="G194" s="28">
        <v>43808</v>
      </c>
      <c r="H194" s="8">
        <v>1</v>
      </c>
      <c r="I194" s="27" t="s">
        <v>85</v>
      </c>
      <c r="J194" s="27" t="s">
        <v>24</v>
      </c>
      <c r="K194" s="27" t="s">
        <v>195</v>
      </c>
    </row>
    <row r="195" spans="1:11" x14ac:dyDescent="0.3">
      <c r="A195" s="27" t="s">
        <v>731</v>
      </c>
      <c r="B195" s="27" t="s">
        <v>1267</v>
      </c>
      <c r="C195" s="27" t="s">
        <v>1421</v>
      </c>
      <c r="D195" s="27" t="s">
        <v>28</v>
      </c>
      <c r="E195" s="27" t="s">
        <v>68</v>
      </c>
      <c r="F195" s="8">
        <v>53535.62</v>
      </c>
      <c r="G195" s="28">
        <v>44110</v>
      </c>
      <c r="H195" s="8">
        <v>0.5</v>
      </c>
      <c r="I195" s="27" t="s">
        <v>41</v>
      </c>
      <c r="J195" s="27" t="s">
        <v>30</v>
      </c>
      <c r="K195" s="27" t="s">
        <v>1422</v>
      </c>
    </row>
    <row r="196" spans="1:11" x14ac:dyDescent="0.3">
      <c r="A196" s="27" t="s">
        <v>751</v>
      </c>
      <c r="B196" s="27" t="s">
        <v>1361</v>
      </c>
      <c r="C196" s="27" t="s">
        <v>1050</v>
      </c>
      <c r="D196" s="27" t="s">
        <v>20</v>
      </c>
      <c r="E196" s="27" t="s">
        <v>83</v>
      </c>
      <c r="F196" s="8">
        <v>53184.02</v>
      </c>
      <c r="G196" s="28">
        <v>43180</v>
      </c>
      <c r="H196" s="8">
        <v>1</v>
      </c>
      <c r="I196" s="27" t="s">
        <v>41</v>
      </c>
      <c r="J196" s="27" t="s">
        <v>115</v>
      </c>
      <c r="K196" s="27" t="s">
        <v>1434</v>
      </c>
    </row>
    <row r="197" spans="1:11" x14ac:dyDescent="0.3">
      <c r="A197" s="27" t="s">
        <v>109</v>
      </c>
      <c r="B197" s="27" t="s">
        <v>1053</v>
      </c>
      <c r="C197" s="27" t="s">
        <v>1060</v>
      </c>
      <c r="D197" s="27" t="s">
        <v>20</v>
      </c>
      <c r="E197" s="27" t="s">
        <v>39</v>
      </c>
      <c r="F197" s="8">
        <v>52963.65</v>
      </c>
      <c r="G197" s="28">
        <v>44288</v>
      </c>
      <c r="H197" s="8">
        <v>0.3</v>
      </c>
      <c r="I197" s="27" t="s">
        <v>23</v>
      </c>
      <c r="J197" s="27" t="s">
        <v>74</v>
      </c>
      <c r="K197" s="27" t="s">
        <v>1061</v>
      </c>
    </row>
    <row r="198" spans="1:11" x14ac:dyDescent="0.3">
      <c r="A198" s="27" t="s">
        <v>102</v>
      </c>
      <c r="B198" s="27" t="s">
        <v>1044</v>
      </c>
      <c r="C198" s="27" t="s">
        <v>1056</v>
      </c>
      <c r="D198" s="27" t="s">
        <v>28</v>
      </c>
      <c r="E198" s="27" t="s">
        <v>29</v>
      </c>
      <c r="F198" s="8">
        <v>52748.63</v>
      </c>
      <c r="G198" s="28">
        <v>43857</v>
      </c>
      <c r="H198" s="8">
        <v>1</v>
      </c>
      <c r="I198" s="27" t="s">
        <v>23</v>
      </c>
      <c r="J198" s="27" t="s">
        <v>55</v>
      </c>
      <c r="K198" s="27" t="s">
        <v>1057</v>
      </c>
    </row>
    <row r="199" spans="1:11" x14ac:dyDescent="0.3">
      <c r="A199" s="27" t="s">
        <v>645</v>
      </c>
      <c r="B199" s="27" t="s">
        <v>1373</v>
      </c>
      <c r="C199" s="27" t="s">
        <v>1050</v>
      </c>
      <c r="D199" s="27" t="s">
        <v>20</v>
      </c>
      <c r="E199" s="27" t="s">
        <v>68</v>
      </c>
      <c r="F199" s="8">
        <v>52270.22</v>
      </c>
      <c r="G199" s="28">
        <v>43521</v>
      </c>
      <c r="H199" s="8">
        <v>0.3</v>
      </c>
      <c r="I199" s="27" t="s">
        <v>23</v>
      </c>
      <c r="J199" s="27" t="s">
        <v>47</v>
      </c>
      <c r="K199" s="27" t="s">
        <v>1374</v>
      </c>
    </row>
    <row r="200" spans="1:11" x14ac:dyDescent="0.3">
      <c r="A200" s="27" t="s">
        <v>136</v>
      </c>
      <c r="B200" s="27" t="s">
        <v>1079</v>
      </c>
      <c r="C200" s="27" t="s">
        <v>1080</v>
      </c>
      <c r="D200" s="27" t="s">
        <v>1003</v>
      </c>
      <c r="E200" s="27" t="s">
        <v>68</v>
      </c>
      <c r="F200" s="8">
        <v>52246.29</v>
      </c>
      <c r="G200" s="28">
        <v>43573</v>
      </c>
      <c r="H200" s="8">
        <v>1</v>
      </c>
      <c r="I200" s="27" t="s">
        <v>85</v>
      </c>
      <c r="J200" s="27" t="s">
        <v>55</v>
      </c>
      <c r="K200" s="27" t="s">
        <v>139</v>
      </c>
    </row>
    <row r="201" spans="1:11" x14ac:dyDescent="0.3">
      <c r="A201" s="27" t="s">
        <v>913</v>
      </c>
      <c r="B201" s="27" t="s">
        <v>1408</v>
      </c>
      <c r="C201" s="27" t="s">
        <v>1224</v>
      </c>
      <c r="D201" s="27" t="s">
        <v>20</v>
      </c>
      <c r="E201" s="27" t="s">
        <v>78</v>
      </c>
      <c r="F201" s="8">
        <v>51798.25</v>
      </c>
      <c r="G201" s="28">
        <v>43665</v>
      </c>
      <c r="H201" s="8">
        <v>1</v>
      </c>
      <c r="I201" s="27" t="s">
        <v>23</v>
      </c>
      <c r="J201" s="27" t="s">
        <v>107</v>
      </c>
      <c r="K201" s="27" t="s">
        <v>915</v>
      </c>
    </row>
    <row r="202" spans="1:11" x14ac:dyDescent="0.3">
      <c r="A202" s="27" t="s">
        <v>291</v>
      </c>
      <c r="B202" s="27" t="s">
        <v>1169</v>
      </c>
      <c r="C202" s="27" t="s">
        <v>1170</v>
      </c>
      <c r="D202" s="27" t="s">
        <v>28</v>
      </c>
      <c r="E202" s="27" t="s">
        <v>21</v>
      </c>
      <c r="F202" s="8">
        <v>51165.37</v>
      </c>
      <c r="G202" s="28">
        <v>44237</v>
      </c>
      <c r="H202" s="8">
        <v>1</v>
      </c>
      <c r="I202" s="27" t="s">
        <v>41</v>
      </c>
      <c r="J202" s="27" t="s">
        <v>35</v>
      </c>
      <c r="K202" s="27" t="s">
        <v>1171</v>
      </c>
    </row>
    <row r="203" spans="1:11" x14ac:dyDescent="0.3">
      <c r="A203" s="27" t="s">
        <v>243</v>
      </c>
      <c r="B203" s="27" t="s">
        <v>1078</v>
      </c>
      <c r="C203" s="27" t="s">
        <v>1147</v>
      </c>
      <c r="D203" s="27" t="s">
        <v>28</v>
      </c>
      <c r="E203" s="27" t="s">
        <v>68</v>
      </c>
      <c r="F203" s="8">
        <v>50855.53</v>
      </c>
      <c r="G203" s="28">
        <v>44221</v>
      </c>
      <c r="H203" s="8">
        <v>1</v>
      </c>
      <c r="I203" s="27" t="s">
        <v>23</v>
      </c>
      <c r="J203" s="27" t="s">
        <v>107</v>
      </c>
      <c r="K203" s="27" t="s">
        <v>1148</v>
      </c>
    </row>
    <row r="204" spans="1:11" x14ac:dyDescent="0.3">
      <c r="A204" s="27" t="s">
        <v>157</v>
      </c>
      <c r="B204" s="27" t="s">
        <v>1092</v>
      </c>
      <c r="C204" s="27" t="s">
        <v>1093</v>
      </c>
      <c r="D204" s="27" t="s">
        <v>20</v>
      </c>
      <c r="E204" s="27" t="s">
        <v>68</v>
      </c>
      <c r="F204" s="8">
        <v>50449.46</v>
      </c>
      <c r="G204" s="28">
        <v>43418</v>
      </c>
      <c r="H204" s="8">
        <v>0.8</v>
      </c>
      <c r="I204" s="27" t="s">
        <v>23</v>
      </c>
      <c r="J204" s="27" t="s">
        <v>47</v>
      </c>
      <c r="K204" s="27" t="s">
        <v>1094</v>
      </c>
    </row>
    <row r="205" spans="1:11" x14ac:dyDescent="0.3">
      <c r="A205" s="27" t="s">
        <v>105</v>
      </c>
      <c r="B205" s="27" t="s">
        <v>1009</v>
      </c>
      <c r="C205" s="27" t="s">
        <v>1058</v>
      </c>
      <c r="D205" s="27" t="s">
        <v>28</v>
      </c>
      <c r="E205" s="27" t="s">
        <v>68</v>
      </c>
      <c r="F205" s="8">
        <v>50310.09</v>
      </c>
      <c r="G205" s="28">
        <v>44285</v>
      </c>
      <c r="H205" s="8">
        <v>0.4</v>
      </c>
      <c r="I205" s="27" t="s">
        <v>23</v>
      </c>
      <c r="J205" s="27" t="s">
        <v>107</v>
      </c>
      <c r="K205" s="27" t="s">
        <v>1059</v>
      </c>
    </row>
    <row r="206" spans="1:11" x14ac:dyDescent="0.3">
      <c r="A206" s="27" t="s">
        <v>419</v>
      </c>
      <c r="B206" s="27" t="s">
        <v>1098</v>
      </c>
      <c r="C206" s="27" t="s">
        <v>1244</v>
      </c>
      <c r="D206" s="27" t="s">
        <v>20</v>
      </c>
      <c r="E206" s="27" t="s">
        <v>45</v>
      </c>
      <c r="F206" s="8">
        <v>49915.14</v>
      </c>
      <c r="G206" s="28">
        <v>43550</v>
      </c>
      <c r="H206" s="8">
        <v>1</v>
      </c>
      <c r="I206" s="27" t="s">
        <v>23</v>
      </c>
      <c r="J206" s="27" t="s">
        <v>30</v>
      </c>
      <c r="K206" s="27" t="s">
        <v>1245</v>
      </c>
    </row>
    <row r="207" spans="1:11" x14ac:dyDescent="0.3">
      <c r="A207" s="27" t="s">
        <v>827</v>
      </c>
      <c r="B207" s="27" t="s">
        <v>1025</v>
      </c>
      <c r="C207" s="27" t="s">
        <v>1465</v>
      </c>
      <c r="D207" s="27" t="s">
        <v>20</v>
      </c>
      <c r="E207" s="27" t="s">
        <v>21</v>
      </c>
      <c r="F207" s="8">
        <v>49625.64</v>
      </c>
      <c r="G207" s="28">
        <v>44384</v>
      </c>
      <c r="H207" s="8">
        <v>0.5</v>
      </c>
      <c r="I207" s="27" t="s">
        <v>41</v>
      </c>
      <c r="J207" s="27" t="s">
        <v>30</v>
      </c>
      <c r="K207" s="27" t="s">
        <v>1466</v>
      </c>
    </row>
    <row r="208" spans="1:11" x14ac:dyDescent="0.3">
      <c r="A208" s="27" t="s">
        <v>882</v>
      </c>
      <c r="B208" s="27" t="s">
        <v>1495</v>
      </c>
      <c r="C208" s="27" t="s">
        <v>1496</v>
      </c>
      <c r="D208" s="27" t="s">
        <v>20</v>
      </c>
      <c r="E208" s="27" t="s">
        <v>34</v>
      </c>
      <c r="F208" s="29">
        <v>48525.71</v>
      </c>
      <c r="G208" s="28">
        <v>43264</v>
      </c>
      <c r="H208" s="8">
        <v>1</v>
      </c>
      <c r="I208" s="27" t="s">
        <v>23</v>
      </c>
      <c r="J208" s="27" t="s">
        <v>74</v>
      </c>
      <c r="K208" s="27" t="s">
        <v>1497</v>
      </c>
    </row>
    <row r="209" spans="1:11" x14ac:dyDescent="0.3">
      <c r="A209" s="27" t="s">
        <v>573</v>
      </c>
      <c r="B209" s="27" t="s">
        <v>1006</v>
      </c>
      <c r="C209" s="27" t="s">
        <v>1104</v>
      </c>
      <c r="D209" s="27" t="s">
        <v>20</v>
      </c>
      <c r="E209" s="27" t="s">
        <v>68</v>
      </c>
      <c r="F209" s="8">
        <v>47646.95</v>
      </c>
      <c r="G209" s="28">
        <v>43791</v>
      </c>
      <c r="H209" s="8">
        <v>0.3</v>
      </c>
      <c r="I209" s="27" t="s">
        <v>41</v>
      </c>
      <c r="J209" s="27" t="s">
        <v>55</v>
      </c>
      <c r="K209" s="27" t="s">
        <v>1336</v>
      </c>
    </row>
    <row r="210" spans="1:11" x14ac:dyDescent="0.3">
      <c r="A210" s="27" t="s">
        <v>966</v>
      </c>
      <c r="B210" s="27" t="s">
        <v>1531</v>
      </c>
      <c r="C210" s="27" t="s">
        <v>1078</v>
      </c>
      <c r="D210" s="27" t="s">
        <v>20</v>
      </c>
      <c r="E210" s="27" t="s">
        <v>45</v>
      </c>
      <c r="F210" s="8">
        <v>47551.89</v>
      </c>
      <c r="G210" s="28">
        <v>43468</v>
      </c>
      <c r="H210" s="8">
        <v>1</v>
      </c>
      <c r="I210" s="27" t="s">
        <v>23</v>
      </c>
      <c r="J210" s="27" t="s">
        <v>55</v>
      </c>
      <c r="K210" s="27" t="s">
        <v>968</v>
      </c>
    </row>
    <row r="211" spans="1:11" x14ac:dyDescent="0.3">
      <c r="A211" s="27" t="s">
        <v>365</v>
      </c>
      <c r="B211" s="27" t="s">
        <v>1081</v>
      </c>
      <c r="C211" s="27" t="s">
        <v>1218</v>
      </c>
      <c r="D211" s="27" t="s">
        <v>20</v>
      </c>
      <c r="E211" s="27" t="s">
        <v>39</v>
      </c>
      <c r="F211" s="8">
        <v>47362.62</v>
      </c>
      <c r="G211" s="28">
        <v>43973</v>
      </c>
      <c r="H211" s="8">
        <v>1</v>
      </c>
      <c r="I211" s="27" t="s">
        <v>85</v>
      </c>
      <c r="J211" s="27" t="s">
        <v>30</v>
      </c>
      <c r="K211" s="27" t="s">
        <v>368</v>
      </c>
    </row>
    <row r="212" spans="1:11" x14ac:dyDescent="0.3">
      <c r="A212" s="27" t="s">
        <v>869</v>
      </c>
      <c r="B212" s="27" t="s">
        <v>1487</v>
      </c>
      <c r="C212" s="27" t="s">
        <v>1488</v>
      </c>
      <c r="D212" s="27" t="s">
        <v>20</v>
      </c>
      <c r="E212" s="27" t="s">
        <v>78</v>
      </c>
      <c r="F212" s="8">
        <v>46751.7</v>
      </c>
      <c r="G212" s="28">
        <v>43843</v>
      </c>
      <c r="H212" s="8">
        <v>1</v>
      </c>
      <c r="I212" s="27" t="s">
        <v>41</v>
      </c>
      <c r="J212" s="27" t="s">
        <v>115</v>
      </c>
      <c r="K212" s="27" t="s">
        <v>1489</v>
      </c>
    </row>
    <row r="213" spans="1:11" x14ac:dyDescent="0.3">
      <c r="A213" s="27" t="s">
        <v>398</v>
      </c>
      <c r="B213" s="27" t="s">
        <v>1219</v>
      </c>
      <c r="C213" s="27" t="s">
        <v>1231</v>
      </c>
      <c r="D213" s="27" t="s">
        <v>28</v>
      </c>
      <c r="E213" s="27" t="s">
        <v>34</v>
      </c>
      <c r="F213" s="29">
        <v>44845.33</v>
      </c>
      <c r="G213" s="28">
        <v>43277</v>
      </c>
      <c r="H213" s="8">
        <v>1</v>
      </c>
      <c r="I213" s="27" t="s">
        <v>23</v>
      </c>
      <c r="J213" s="27" t="s">
        <v>24</v>
      </c>
      <c r="K213" s="27" t="s">
        <v>401</v>
      </c>
    </row>
    <row r="214" spans="1:11" x14ac:dyDescent="0.3">
      <c r="A214" s="27" t="s">
        <v>508</v>
      </c>
      <c r="B214" s="27" t="s">
        <v>1292</v>
      </c>
      <c r="C214" s="27" t="s">
        <v>1293</v>
      </c>
      <c r="D214" s="27" t="s">
        <v>20</v>
      </c>
      <c r="E214" s="27" t="s">
        <v>39</v>
      </c>
      <c r="F214" s="8">
        <v>44447.26</v>
      </c>
      <c r="G214" s="28">
        <v>43846</v>
      </c>
      <c r="H214" s="8">
        <v>0.4</v>
      </c>
      <c r="I214" s="27" t="s">
        <v>23</v>
      </c>
      <c r="J214" s="27" t="s">
        <v>115</v>
      </c>
      <c r="K214" s="27" t="s">
        <v>1294</v>
      </c>
    </row>
    <row r="215" spans="1:11" x14ac:dyDescent="0.3">
      <c r="A215" s="27" t="s">
        <v>211</v>
      </c>
      <c r="B215" s="27" t="s">
        <v>1125</v>
      </c>
      <c r="C215" s="27" t="s">
        <v>1126</v>
      </c>
      <c r="D215" s="27" t="s">
        <v>28</v>
      </c>
      <c r="E215" s="27" t="s">
        <v>78</v>
      </c>
      <c r="F215" s="8">
        <v>44403.77</v>
      </c>
      <c r="G215" s="28">
        <v>43416</v>
      </c>
      <c r="H215" s="8">
        <v>1</v>
      </c>
      <c r="I215" s="27" t="s">
        <v>23</v>
      </c>
      <c r="J215" s="27" t="s">
        <v>55</v>
      </c>
      <c r="K215" s="27" t="s">
        <v>1127</v>
      </c>
    </row>
    <row r="216" spans="1:11" x14ac:dyDescent="0.3">
      <c r="A216" s="27" t="s">
        <v>117</v>
      </c>
      <c r="B216" s="27" t="s">
        <v>1065</v>
      </c>
      <c r="C216" s="27" t="s">
        <v>1066</v>
      </c>
      <c r="D216" s="27" t="s">
        <v>28</v>
      </c>
      <c r="E216" s="27" t="s">
        <v>34</v>
      </c>
      <c r="F216" s="29">
        <v>43329.22</v>
      </c>
      <c r="G216" s="28">
        <v>43809</v>
      </c>
      <c r="H216" s="8">
        <v>0.5</v>
      </c>
      <c r="I216" s="27" t="s">
        <v>41</v>
      </c>
      <c r="J216" s="27" t="s">
        <v>107</v>
      </c>
      <c r="K216" s="27" t="s">
        <v>1067</v>
      </c>
    </row>
    <row r="217" spans="1:11" x14ac:dyDescent="0.3">
      <c r="A217" s="27" t="s">
        <v>66</v>
      </c>
      <c r="B217" s="27" t="s">
        <v>1033</v>
      </c>
      <c r="C217" s="27" t="s">
        <v>1034</v>
      </c>
      <c r="D217" s="27" t="s">
        <v>20</v>
      </c>
      <c r="E217" s="27" t="s">
        <v>68</v>
      </c>
      <c r="F217" s="8">
        <v>42314.39</v>
      </c>
      <c r="G217" s="28">
        <v>44487</v>
      </c>
      <c r="H217" s="8">
        <v>1</v>
      </c>
      <c r="I217" s="27" t="s">
        <v>41</v>
      </c>
      <c r="J217" s="27" t="s">
        <v>24</v>
      </c>
      <c r="K217" s="27" t="s">
        <v>1035</v>
      </c>
    </row>
    <row r="218" spans="1:11" x14ac:dyDescent="0.3">
      <c r="A218" s="27" t="s">
        <v>412</v>
      </c>
      <c r="B218" s="27" t="s">
        <v>1240</v>
      </c>
      <c r="C218" s="27" t="s">
        <v>1241</v>
      </c>
      <c r="D218" s="27" t="s">
        <v>20</v>
      </c>
      <c r="E218" s="27" t="s">
        <v>29</v>
      </c>
      <c r="F218" s="8">
        <v>42161.77</v>
      </c>
      <c r="G218" s="28">
        <v>43494</v>
      </c>
      <c r="H218" s="8">
        <v>1</v>
      </c>
      <c r="I218" s="27" t="s">
        <v>23</v>
      </c>
      <c r="J218" s="27" t="s">
        <v>47</v>
      </c>
      <c r="K218" s="27" t="s">
        <v>1242</v>
      </c>
    </row>
    <row r="219" spans="1:11" x14ac:dyDescent="0.3">
      <c r="A219" s="27" t="s">
        <v>381</v>
      </c>
      <c r="B219" s="27" t="s">
        <v>1222</v>
      </c>
      <c r="C219" s="27" t="s">
        <v>1223</v>
      </c>
      <c r="D219" s="27" t="s">
        <v>28</v>
      </c>
      <c r="E219" s="27" t="s">
        <v>68</v>
      </c>
      <c r="F219" s="8">
        <v>41934.71</v>
      </c>
      <c r="G219" s="28">
        <v>43943</v>
      </c>
      <c r="H219" s="8">
        <v>1</v>
      </c>
      <c r="I219" s="27" t="s">
        <v>23</v>
      </c>
      <c r="J219" s="27" t="s">
        <v>24</v>
      </c>
      <c r="K219" s="27" t="s">
        <v>383</v>
      </c>
    </row>
    <row r="220" spans="1:11" x14ac:dyDescent="0.3">
      <c r="A220" s="27" t="s">
        <v>735</v>
      </c>
      <c r="B220" s="27" t="s">
        <v>1041</v>
      </c>
      <c r="C220" s="27" t="s">
        <v>1423</v>
      </c>
      <c r="D220" s="27" t="s">
        <v>20</v>
      </c>
      <c r="E220" s="27" t="s">
        <v>68</v>
      </c>
      <c r="F220" s="8">
        <v>41934.71</v>
      </c>
      <c r="G220" s="28">
        <v>43780</v>
      </c>
      <c r="H220" s="8">
        <v>1</v>
      </c>
      <c r="I220" s="27" t="s">
        <v>23</v>
      </c>
      <c r="J220" s="27" t="s">
        <v>107</v>
      </c>
      <c r="K220" s="27" t="s">
        <v>1424</v>
      </c>
    </row>
    <row r="221" spans="1:11" x14ac:dyDescent="0.3">
      <c r="A221" s="27" t="s">
        <v>214</v>
      </c>
      <c r="B221" s="27" t="s">
        <v>1128</v>
      </c>
      <c r="C221" s="27" t="s">
        <v>1129</v>
      </c>
      <c r="D221" s="27" t="s">
        <v>28</v>
      </c>
      <c r="E221" s="27" t="s">
        <v>78</v>
      </c>
      <c r="F221" s="8">
        <v>40753.54</v>
      </c>
      <c r="G221" s="28">
        <v>43152</v>
      </c>
      <c r="H221" s="8">
        <v>0.6</v>
      </c>
      <c r="I221" s="27" t="s">
        <v>23</v>
      </c>
      <c r="J221" s="27" t="s">
        <v>107</v>
      </c>
      <c r="K221" s="27" t="s">
        <v>216</v>
      </c>
    </row>
    <row r="222" spans="1:11" x14ac:dyDescent="0.3">
      <c r="A222" s="27" t="s">
        <v>511</v>
      </c>
      <c r="B222" s="27" t="s">
        <v>1295</v>
      </c>
      <c r="C222" s="27" t="s">
        <v>1296</v>
      </c>
      <c r="D222" s="27" t="s">
        <v>28</v>
      </c>
      <c r="E222" s="27" t="s">
        <v>45</v>
      </c>
      <c r="F222" s="8">
        <v>40445.29</v>
      </c>
      <c r="G222" s="28">
        <v>44393</v>
      </c>
      <c r="H222" s="8">
        <v>1</v>
      </c>
      <c r="I222" s="27" t="s">
        <v>23</v>
      </c>
      <c r="J222" s="27" t="s">
        <v>35</v>
      </c>
      <c r="K222" s="27" t="s">
        <v>1297</v>
      </c>
    </row>
    <row r="223" spans="1:11" x14ac:dyDescent="0.3">
      <c r="A223" s="27" t="s">
        <v>899</v>
      </c>
      <c r="B223" s="27" t="s">
        <v>1505</v>
      </c>
      <c r="C223" s="27" t="s">
        <v>1202</v>
      </c>
      <c r="D223" s="27" t="s">
        <v>28</v>
      </c>
      <c r="E223" s="27" t="s">
        <v>78</v>
      </c>
      <c r="F223" s="8">
        <v>40445.29</v>
      </c>
      <c r="G223" s="28">
        <v>44393</v>
      </c>
      <c r="H223" s="8">
        <v>1</v>
      </c>
      <c r="I223" s="27" t="s">
        <v>23</v>
      </c>
      <c r="J223" s="27" t="s">
        <v>115</v>
      </c>
      <c r="K223" s="27" t="s">
        <v>901</v>
      </c>
    </row>
    <row r="224" spans="1:11" x14ac:dyDescent="0.3">
      <c r="A224" s="27" t="s">
        <v>95</v>
      </c>
      <c r="B224" s="27" t="s">
        <v>1050</v>
      </c>
      <c r="C224" s="27" t="s">
        <v>1051</v>
      </c>
      <c r="D224" s="27" t="s">
        <v>20</v>
      </c>
      <c r="E224" s="27" t="s">
        <v>29</v>
      </c>
      <c r="F224" s="8">
        <v>39969.72</v>
      </c>
      <c r="G224" s="28">
        <v>43444</v>
      </c>
      <c r="H224" s="8">
        <v>1</v>
      </c>
      <c r="I224" s="27" t="s">
        <v>85</v>
      </c>
      <c r="J224" s="27" t="s">
        <v>24</v>
      </c>
      <c r="K224" s="27" t="s">
        <v>1052</v>
      </c>
    </row>
    <row r="225" spans="1:11" x14ac:dyDescent="0.3">
      <c r="A225" s="27" t="s">
        <v>465</v>
      </c>
      <c r="B225" s="27" t="s">
        <v>1128</v>
      </c>
      <c r="C225" s="27" t="s">
        <v>1051</v>
      </c>
      <c r="D225" s="27" t="s">
        <v>28</v>
      </c>
      <c r="E225" s="27" t="s">
        <v>39</v>
      </c>
      <c r="F225" s="8">
        <v>39784.239999999998</v>
      </c>
      <c r="G225" s="28">
        <v>43465</v>
      </c>
      <c r="H225" s="8">
        <v>1</v>
      </c>
      <c r="I225" s="27" t="s">
        <v>41</v>
      </c>
      <c r="J225" s="27" t="s">
        <v>35</v>
      </c>
      <c r="K225" s="27" t="s">
        <v>1266</v>
      </c>
    </row>
    <row r="226" spans="1:11" x14ac:dyDescent="0.3">
      <c r="A226" s="27" t="s">
        <v>236</v>
      </c>
      <c r="B226" s="27" t="s">
        <v>1025</v>
      </c>
      <c r="C226" s="27" t="s">
        <v>1145</v>
      </c>
      <c r="D226" s="27" t="s">
        <v>28</v>
      </c>
      <c r="E226" s="27" t="s">
        <v>68</v>
      </c>
      <c r="F226" s="8">
        <v>39700.82</v>
      </c>
      <c r="G226" s="28">
        <v>44203</v>
      </c>
      <c r="H226" s="8">
        <v>0.8</v>
      </c>
      <c r="I226" s="27" t="s">
        <v>23</v>
      </c>
      <c r="J226" s="27" t="s">
        <v>107</v>
      </c>
      <c r="K226" s="27" t="s">
        <v>238</v>
      </c>
    </row>
    <row r="227" spans="1:11" x14ac:dyDescent="0.3">
      <c r="A227" s="27" t="s">
        <v>969</v>
      </c>
      <c r="B227" s="27" t="s">
        <v>1532</v>
      </c>
      <c r="C227" s="27" t="s">
        <v>1170</v>
      </c>
      <c r="D227" s="27" t="s">
        <v>20</v>
      </c>
      <c r="E227" s="27" t="s">
        <v>34</v>
      </c>
      <c r="F227" s="29">
        <v>39700.82</v>
      </c>
      <c r="G227" s="28">
        <v>44203</v>
      </c>
      <c r="H227" s="8">
        <v>0.8</v>
      </c>
      <c r="I227" s="27" t="s">
        <v>23</v>
      </c>
      <c r="J227" s="27" t="s">
        <v>24</v>
      </c>
      <c r="K227" s="27" t="s">
        <v>1533</v>
      </c>
    </row>
    <row r="228" spans="1:11" x14ac:dyDescent="0.3">
      <c r="A228" s="27" t="s">
        <v>582</v>
      </c>
      <c r="B228" s="27" t="s">
        <v>1340</v>
      </c>
      <c r="C228" s="27" t="s">
        <v>1341</v>
      </c>
      <c r="D228" s="27" t="s">
        <v>20</v>
      </c>
      <c r="E228" s="27" t="s">
        <v>21</v>
      </c>
      <c r="F228" s="8">
        <v>39535.49</v>
      </c>
      <c r="G228" s="28">
        <v>43397</v>
      </c>
      <c r="H228" s="8">
        <v>0.3</v>
      </c>
      <c r="I228" s="27" t="s">
        <v>23</v>
      </c>
      <c r="J228" s="27" t="s">
        <v>74</v>
      </c>
      <c r="K228" s="27" t="s">
        <v>1342</v>
      </c>
    </row>
    <row r="229" spans="1:11" x14ac:dyDescent="0.3">
      <c r="A229" s="27" t="s">
        <v>777</v>
      </c>
      <c r="B229" s="27" t="s">
        <v>1442</v>
      </c>
      <c r="C229" s="27" t="s">
        <v>1202</v>
      </c>
      <c r="D229" s="27" t="s">
        <v>20</v>
      </c>
      <c r="E229" s="27" t="s">
        <v>83</v>
      </c>
      <c r="F229" s="8">
        <v>38825.18</v>
      </c>
      <c r="G229" s="28">
        <v>43696</v>
      </c>
      <c r="H229" s="8">
        <v>1</v>
      </c>
      <c r="I229" s="27" t="s">
        <v>85</v>
      </c>
      <c r="J229" s="27" t="s">
        <v>55</v>
      </c>
      <c r="K229" s="27" t="s">
        <v>1443</v>
      </c>
    </row>
    <row r="230" spans="1:11" x14ac:dyDescent="0.3">
      <c r="A230" s="27" t="s">
        <v>611</v>
      </c>
      <c r="B230" s="27" t="s">
        <v>1237</v>
      </c>
      <c r="C230" s="27" t="s">
        <v>1333</v>
      </c>
      <c r="D230" s="27" t="s">
        <v>20</v>
      </c>
      <c r="E230" s="27" t="s">
        <v>39</v>
      </c>
      <c r="F230" s="8">
        <v>38438.239999999998</v>
      </c>
      <c r="G230" s="28">
        <v>43962</v>
      </c>
      <c r="H230" s="8">
        <v>1</v>
      </c>
      <c r="I230" s="27" t="s">
        <v>23</v>
      </c>
      <c r="J230" s="27" t="s">
        <v>55</v>
      </c>
      <c r="K230" s="27" t="s">
        <v>1355</v>
      </c>
    </row>
    <row r="231" spans="1:11" x14ac:dyDescent="0.3">
      <c r="A231" s="27" t="s">
        <v>239</v>
      </c>
      <c r="B231" s="27" t="s">
        <v>1146</v>
      </c>
      <c r="C231" s="27" t="s">
        <v>1126</v>
      </c>
      <c r="D231" s="27" t="s">
        <v>28</v>
      </c>
      <c r="E231" s="27" t="s">
        <v>39</v>
      </c>
      <c r="F231" s="8">
        <v>38438.239999999998</v>
      </c>
      <c r="G231" s="28">
        <v>43962</v>
      </c>
      <c r="H231" s="8">
        <v>1</v>
      </c>
      <c r="I231" s="27" t="s">
        <v>23</v>
      </c>
      <c r="J231" s="27" t="s">
        <v>30</v>
      </c>
      <c r="K231" s="27" t="s">
        <v>242</v>
      </c>
    </row>
    <row r="232" spans="1:11" x14ac:dyDescent="0.3">
      <c r="A232" s="27" t="s">
        <v>91</v>
      </c>
      <c r="B232" s="27" t="s">
        <v>1047</v>
      </c>
      <c r="C232" s="27" t="s">
        <v>1048</v>
      </c>
      <c r="D232" s="27" t="s">
        <v>28</v>
      </c>
      <c r="E232" s="27" t="s">
        <v>39</v>
      </c>
      <c r="F232" s="8">
        <v>37902.35</v>
      </c>
      <c r="G232" s="28">
        <v>43823</v>
      </c>
      <c r="H232" s="8">
        <v>1</v>
      </c>
      <c r="I232" s="27" t="s">
        <v>23</v>
      </c>
      <c r="J232" s="27" t="s">
        <v>24</v>
      </c>
      <c r="K232" s="27" t="s">
        <v>1049</v>
      </c>
    </row>
    <row r="233" spans="1:11" x14ac:dyDescent="0.3">
      <c r="A233" s="27" t="s">
        <v>543</v>
      </c>
      <c r="B233" s="27" t="s">
        <v>1318</v>
      </c>
      <c r="C233" s="27" t="s">
        <v>1051</v>
      </c>
      <c r="D233" s="27" t="s">
        <v>20</v>
      </c>
      <c r="E233" s="27" t="s">
        <v>21</v>
      </c>
      <c r="F233" s="8">
        <v>37902.35</v>
      </c>
      <c r="G233" s="28">
        <v>43823</v>
      </c>
      <c r="H233" s="8">
        <v>1</v>
      </c>
      <c r="I233" s="27" t="s">
        <v>23</v>
      </c>
      <c r="J233" s="27" t="s">
        <v>74</v>
      </c>
      <c r="K233" s="27" t="s">
        <v>545</v>
      </c>
    </row>
    <row r="234" spans="1:11" x14ac:dyDescent="0.3">
      <c r="A234" s="27" t="s">
        <v>251</v>
      </c>
      <c r="B234" s="27" t="s">
        <v>1025</v>
      </c>
      <c r="C234" s="27" t="s">
        <v>1149</v>
      </c>
      <c r="D234" s="27" t="s">
        <v>20</v>
      </c>
      <c r="E234" s="27" t="s">
        <v>39</v>
      </c>
      <c r="F234" s="8">
        <v>37362.300000000003</v>
      </c>
      <c r="G234" s="28">
        <v>43642</v>
      </c>
      <c r="H234" s="8">
        <v>1</v>
      </c>
      <c r="I234" s="27" t="s">
        <v>23</v>
      </c>
      <c r="J234" s="27" t="s">
        <v>107</v>
      </c>
      <c r="K234" s="27" t="s">
        <v>1150</v>
      </c>
    </row>
    <row r="235" spans="1:11" x14ac:dyDescent="0.3">
      <c r="A235" s="27" t="s">
        <v>426</v>
      </c>
      <c r="B235" s="27" t="s">
        <v>1246</v>
      </c>
      <c r="C235" s="27" t="s">
        <v>1247</v>
      </c>
      <c r="D235" s="27" t="s">
        <v>28</v>
      </c>
      <c r="E235" s="27" t="s">
        <v>34</v>
      </c>
      <c r="F235" s="29">
        <v>37062.1</v>
      </c>
      <c r="G235" s="28">
        <v>44357</v>
      </c>
      <c r="H235" s="8">
        <v>1</v>
      </c>
      <c r="I235" s="27" t="s">
        <v>85</v>
      </c>
      <c r="J235" s="27" t="s">
        <v>35</v>
      </c>
      <c r="K235" s="27" t="s">
        <v>428</v>
      </c>
    </row>
    <row r="236" spans="1:11" x14ac:dyDescent="0.3">
      <c r="A236" s="27" t="s">
        <v>834</v>
      </c>
      <c r="B236" s="27" t="s">
        <v>1470</v>
      </c>
      <c r="C236" s="27" t="s">
        <v>1189</v>
      </c>
      <c r="D236" s="27" t="s">
        <v>28</v>
      </c>
      <c r="E236" s="27" t="s">
        <v>21</v>
      </c>
      <c r="F236" s="8">
        <v>36714.379999999997</v>
      </c>
      <c r="G236" s="28">
        <v>44175</v>
      </c>
      <c r="H236" s="8">
        <v>1</v>
      </c>
      <c r="I236" s="27" t="s">
        <v>23</v>
      </c>
      <c r="J236" s="27" t="s">
        <v>55</v>
      </c>
      <c r="K236" s="27" t="s">
        <v>836</v>
      </c>
    </row>
    <row r="237" spans="1:11" x14ac:dyDescent="0.3">
      <c r="A237" s="27" t="s">
        <v>485</v>
      </c>
      <c r="B237" s="27" t="s">
        <v>1280</v>
      </c>
      <c r="C237" s="27" t="s">
        <v>1281</v>
      </c>
      <c r="D237" s="27" t="s">
        <v>28</v>
      </c>
      <c r="E237" s="27" t="s">
        <v>68</v>
      </c>
      <c r="F237" s="8">
        <v>36547.58</v>
      </c>
      <c r="G237" s="28">
        <v>43416</v>
      </c>
      <c r="H237" s="8">
        <v>1</v>
      </c>
      <c r="I237" s="27" t="s">
        <v>23</v>
      </c>
      <c r="J237" s="27" t="s">
        <v>30</v>
      </c>
      <c r="K237" s="27" t="s">
        <v>1282</v>
      </c>
    </row>
    <row r="238" spans="1:11" x14ac:dyDescent="0.3">
      <c r="A238" s="27" t="s">
        <v>844</v>
      </c>
      <c r="B238" s="27" t="s">
        <v>1475</v>
      </c>
      <c r="C238" s="27" t="s">
        <v>1476</v>
      </c>
      <c r="D238" s="27" t="s">
        <v>20</v>
      </c>
      <c r="E238" s="27" t="s">
        <v>39</v>
      </c>
      <c r="F238" s="8">
        <v>36547.58</v>
      </c>
      <c r="G238" s="28">
        <v>43416</v>
      </c>
      <c r="H238" s="8">
        <v>1</v>
      </c>
      <c r="I238" s="27" t="s">
        <v>23</v>
      </c>
      <c r="J238" s="27" t="s">
        <v>107</v>
      </c>
      <c r="K238" s="27" t="s">
        <v>846</v>
      </c>
    </row>
    <row r="239" spans="1:11" x14ac:dyDescent="0.3">
      <c r="A239" s="27" t="s">
        <v>595</v>
      </c>
      <c r="B239" s="27" t="s">
        <v>1349</v>
      </c>
      <c r="C239" s="27" t="s">
        <v>1350</v>
      </c>
      <c r="D239" s="27" t="s">
        <v>28</v>
      </c>
      <c r="E239" s="27" t="s">
        <v>45</v>
      </c>
      <c r="F239" s="8">
        <v>36536.26</v>
      </c>
      <c r="G239" s="28">
        <v>44358</v>
      </c>
      <c r="H239" s="8">
        <v>1</v>
      </c>
      <c r="I239" s="27" t="s">
        <v>85</v>
      </c>
      <c r="J239" s="27" t="s">
        <v>115</v>
      </c>
      <c r="K239" s="27" t="s">
        <v>1351</v>
      </c>
    </row>
    <row r="240" spans="1:11" x14ac:dyDescent="0.3">
      <c r="A240" s="27" t="s">
        <v>227</v>
      </c>
      <c r="B240" s="27" t="s">
        <v>1139</v>
      </c>
      <c r="C240" s="27" t="s">
        <v>1034</v>
      </c>
      <c r="D240" s="27" t="s">
        <v>28</v>
      </c>
      <c r="E240" s="27" t="s">
        <v>68</v>
      </c>
      <c r="F240" s="8">
        <v>35943.620000000003</v>
      </c>
      <c r="G240" s="28">
        <v>44078</v>
      </c>
      <c r="H240" s="8">
        <v>1</v>
      </c>
      <c r="I240" s="27" t="s">
        <v>23</v>
      </c>
      <c r="J240" s="27" t="s">
        <v>35</v>
      </c>
      <c r="K240" s="27" t="s">
        <v>1140</v>
      </c>
    </row>
    <row r="241" spans="1:11" x14ac:dyDescent="0.3">
      <c r="A241" s="27" t="s">
        <v>755</v>
      </c>
      <c r="B241" s="27" t="s">
        <v>1204</v>
      </c>
      <c r="C241" s="27" t="s">
        <v>1007</v>
      </c>
      <c r="D241" s="27" t="s">
        <v>20</v>
      </c>
      <c r="E241" s="27" t="s">
        <v>45</v>
      </c>
      <c r="F241" s="8">
        <v>35936.31</v>
      </c>
      <c r="G241" s="28">
        <v>43241</v>
      </c>
      <c r="H241" s="8">
        <v>1</v>
      </c>
      <c r="I241" s="27" t="s">
        <v>23</v>
      </c>
      <c r="J241" s="27" t="s">
        <v>47</v>
      </c>
      <c r="K241" s="27" t="s">
        <v>757</v>
      </c>
    </row>
    <row r="242" spans="1:11" x14ac:dyDescent="0.3">
      <c r="A242" s="27" t="s">
        <v>546</v>
      </c>
      <c r="B242" s="27" t="s">
        <v>1141</v>
      </c>
      <c r="C242" s="27" t="s">
        <v>1319</v>
      </c>
      <c r="D242" s="27" t="s">
        <v>20</v>
      </c>
      <c r="E242" s="27" t="s">
        <v>45</v>
      </c>
      <c r="F242" s="8">
        <v>33031.26</v>
      </c>
      <c r="G242" s="28">
        <v>43468</v>
      </c>
      <c r="H242" s="8">
        <v>0.4</v>
      </c>
      <c r="I242" s="27" t="s">
        <v>23</v>
      </c>
      <c r="J242" s="27" t="s">
        <v>24</v>
      </c>
      <c r="K242" s="27" t="s">
        <v>1320</v>
      </c>
    </row>
    <row r="243" spans="1:11" x14ac:dyDescent="0.3">
      <c r="A243" s="27" t="s">
        <v>550</v>
      </c>
      <c r="B243" s="27" t="s">
        <v>1110</v>
      </c>
      <c r="C243" s="27" t="s">
        <v>1321</v>
      </c>
      <c r="D243" s="27" t="s">
        <v>20</v>
      </c>
      <c r="E243" s="27" t="s">
        <v>34</v>
      </c>
      <c r="F243" s="29">
        <v>32496.880000000001</v>
      </c>
      <c r="G243" s="28">
        <v>43234</v>
      </c>
      <c r="H243" s="8">
        <v>1</v>
      </c>
      <c r="I243" s="27" t="s">
        <v>85</v>
      </c>
      <c r="J243" s="27" t="s">
        <v>30</v>
      </c>
      <c r="K243" s="27" t="s">
        <v>1322</v>
      </c>
    </row>
    <row r="244" spans="1:11" x14ac:dyDescent="0.3">
      <c r="A244" s="27" t="s">
        <v>724</v>
      </c>
      <c r="B244" s="27" t="s">
        <v>1009</v>
      </c>
      <c r="C244" s="27" t="s">
        <v>1037</v>
      </c>
      <c r="D244" s="27" t="s">
        <v>20</v>
      </c>
      <c r="E244" s="27" t="s">
        <v>21</v>
      </c>
      <c r="F244" s="8">
        <v>32269.91</v>
      </c>
      <c r="G244" s="28">
        <v>43346</v>
      </c>
      <c r="H244" s="8">
        <v>1</v>
      </c>
      <c r="I244" s="27" t="s">
        <v>23</v>
      </c>
      <c r="J244" s="27" t="s">
        <v>107</v>
      </c>
      <c r="K244" s="27" t="s">
        <v>726</v>
      </c>
    </row>
    <row r="245" spans="1:11" x14ac:dyDescent="0.3">
      <c r="A245" s="27" t="s">
        <v>322</v>
      </c>
      <c r="B245" s="27" t="s">
        <v>1187</v>
      </c>
      <c r="C245" s="27" t="s">
        <v>1188</v>
      </c>
      <c r="D245" s="27" t="s">
        <v>20</v>
      </c>
      <c r="E245" s="27" t="s">
        <v>29</v>
      </c>
      <c r="F245" s="8">
        <v>32192.15</v>
      </c>
      <c r="G245" s="28">
        <v>44473</v>
      </c>
      <c r="H245" s="8">
        <v>1</v>
      </c>
      <c r="I245" s="27" t="s">
        <v>23</v>
      </c>
      <c r="J245" s="27" t="s">
        <v>107</v>
      </c>
      <c r="K245" s="27" t="s">
        <v>325</v>
      </c>
    </row>
    <row r="246" spans="1:11" x14ac:dyDescent="0.3">
      <c r="A246" s="27" t="s">
        <v>704</v>
      </c>
      <c r="B246" s="27" t="s">
        <v>1408</v>
      </c>
      <c r="C246" s="27" t="s">
        <v>1029</v>
      </c>
      <c r="D246" s="27" t="s">
        <v>28</v>
      </c>
      <c r="E246" s="27" t="s">
        <v>68</v>
      </c>
      <c r="F246" s="8">
        <v>31816.57</v>
      </c>
      <c r="G246" s="28">
        <v>43497</v>
      </c>
      <c r="H246" s="8">
        <v>0.3</v>
      </c>
      <c r="I246" s="27" t="s">
        <v>41</v>
      </c>
      <c r="J246" s="27" t="s">
        <v>30</v>
      </c>
      <c r="K246" s="27" t="s">
        <v>707</v>
      </c>
    </row>
    <row r="247" spans="1:11" x14ac:dyDescent="0.3">
      <c r="A247" s="27" t="s">
        <v>537</v>
      </c>
      <c r="B247" s="27" t="s">
        <v>1313</v>
      </c>
      <c r="C247" s="27" t="s">
        <v>1314</v>
      </c>
      <c r="D247" s="27" t="s">
        <v>28</v>
      </c>
      <c r="E247" s="27" t="s">
        <v>39</v>
      </c>
      <c r="F247" s="8">
        <v>31241.24</v>
      </c>
      <c r="G247" s="28">
        <v>43725</v>
      </c>
      <c r="H247" s="8">
        <v>1</v>
      </c>
      <c r="I247" s="27" t="s">
        <v>23</v>
      </c>
      <c r="J247" s="27" t="s">
        <v>74</v>
      </c>
      <c r="K247" s="27" t="s">
        <v>539</v>
      </c>
    </row>
    <row r="248" spans="1:11" x14ac:dyDescent="0.3">
      <c r="A248" s="27" t="s">
        <v>185</v>
      </c>
      <c r="B248" s="27" t="s">
        <v>1112</v>
      </c>
      <c r="C248" s="27" t="s">
        <v>1113</v>
      </c>
      <c r="D248" s="27" t="s">
        <v>28</v>
      </c>
      <c r="E248" s="27" t="s">
        <v>83</v>
      </c>
      <c r="F248" s="8">
        <v>31172.77</v>
      </c>
      <c r="G248" s="28">
        <v>43665</v>
      </c>
      <c r="H248" s="8">
        <v>1</v>
      </c>
      <c r="I248" s="27" t="s">
        <v>41</v>
      </c>
      <c r="J248" s="27" t="s">
        <v>107</v>
      </c>
      <c r="K248" s="27" t="s">
        <v>1114</v>
      </c>
    </row>
    <row r="249" spans="1:11" x14ac:dyDescent="0.3">
      <c r="A249" s="27" t="s">
        <v>972</v>
      </c>
      <c r="B249" s="27" t="s">
        <v>1350</v>
      </c>
      <c r="C249" s="27" t="s">
        <v>1534</v>
      </c>
      <c r="D249" s="27" t="s">
        <v>20</v>
      </c>
      <c r="E249" s="27" t="s">
        <v>21</v>
      </c>
      <c r="F249" s="8">
        <v>31089.22</v>
      </c>
      <c r="G249" s="28">
        <v>43776</v>
      </c>
      <c r="H249" s="8">
        <v>1</v>
      </c>
      <c r="I249" s="27" t="s">
        <v>41</v>
      </c>
      <c r="J249" s="27" t="s">
        <v>47</v>
      </c>
      <c r="K249" s="27" t="s">
        <v>1535</v>
      </c>
    </row>
    <row r="250" spans="1:11" x14ac:dyDescent="0.3">
      <c r="A250" s="27" t="s">
        <v>259</v>
      </c>
      <c r="B250" s="27" t="s">
        <v>1025</v>
      </c>
      <c r="C250" s="27" t="s">
        <v>1153</v>
      </c>
      <c r="D250" s="27" t="s">
        <v>20</v>
      </c>
      <c r="E250" s="27" t="s">
        <v>21</v>
      </c>
      <c r="F250" s="8">
        <v>31042.51</v>
      </c>
      <c r="G250" s="28">
        <v>44473</v>
      </c>
      <c r="H250" s="8">
        <v>0.3</v>
      </c>
      <c r="I250" s="27" t="s">
        <v>41</v>
      </c>
      <c r="J250" s="27" t="s">
        <v>115</v>
      </c>
      <c r="K250" s="27" t="s">
        <v>261</v>
      </c>
    </row>
    <row r="251" spans="1:11" x14ac:dyDescent="0.3">
      <c r="A251" s="27" t="s">
        <v>950</v>
      </c>
      <c r="B251" s="27" t="s">
        <v>1180</v>
      </c>
      <c r="C251" s="27" t="s">
        <v>1518</v>
      </c>
      <c r="D251" s="27" t="s">
        <v>28</v>
      </c>
      <c r="E251" s="27" t="s">
        <v>21</v>
      </c>
      <c r="F251" s="8">
        <v>30077.45</v>
      </c>
      <c r="G251" s="28">
        <v>43474</v>
      </c>
      <c r="H251" s="8">
        <v>1</v>
      </c>
      <c r="I251" s="27" t="s">
        <v>23</v>
      </c>
      <c r="J251" s="27" t="s">
        <v>30</v>
      </c>
      <c r="K251" s="27" t="s">
        <v>952</v>
      </c>
    </row>
    <row r="252" spans="1:11" x14ac:dyDescent="0.3">
      <c r="A252" s="27" t="s">
        <v>962</v>
      </c>
      <c r="B252" s="27" t="s">
        <v>1038</v>
      </c>
      <c r="C252" s="27" t="s">
        <v>1098</v>
      </c>
      <c r="D252" s="27" t="s">
        <v>20</v>
      </c>
      <c r="E252" s="27" t="s">
        <v>45</v>
      </c>
      <c r="F252" s="8">
        <v>29808.07</v>
      </c>
      <c r="G252" s="28">
        <v>43291</v>
      </c>
      <c r="H252" s="8">
        <v>0.3</v>
      </c>
      <c r="I252" s="27" t="s">
        <v>85</v>
      </c>
      <c r="J252" s="27" t="s">
        <v>35</v>
      </c>
      <c r="K252" s="27" t="s">
        <v>1530</v>
      </c>
    </row>
    <row r="253" spans="1:11" x14ac:dyDescent="0.3">
      <c r="A253" s="27" t="s">
        <v>761</v>
      </c>
      <c r="B253" s="27" t="s">
        <v>1437</v>
      </c>
      <c r="C253" s="27" t="s">
        <v>1037</v>
      </c>
      <c r="D253" s="27" t="s">
        <v>28</v>
      </c>
      <c r="E253" s="27" t="s">
        <v>83</v>
      </c>
      <c r="F253" s="8">
        <v>29774.76</v>
      </c>
      <c r="G253" s="28">
        <v>44105</v>
      </c>
      <c r="H253" s="8">
        <v>1</v>
      </c>
      <c r="I253" s="27" t="s">
        <v>23</v>
      </c>
      <c r="J253" s="27" t="s">
        <v>35</v>
      </c>
      <c r="K253" s="27" t="s">
        <v>764</v>
      </c>
    </row>
    <row r="254" spans="1:11" x14ac:dyDescent="0.3">
      <c r="A254" s="27" t="s">
        <v>620</v>
      </c>
      <c r="B254" s="27" t="s">
        <v>1361</v>
      </c>
      <c r="C254" s="27" t="s">
        <v>1362</v>
      </c>
      <c r="D254" s="27" t="s">
        <v>20</v>
      </c>
      <c r="E254" s="27" t="s">
        <v>21</v>
      </c>
      <c r="F254" s="8">
        <v>28974.03</v>
      </c>
      <c r="G254" s="28">
        <v>43733</v>
      </c>
      <c r="H254" s="8">
        <v>1</v>
      </c>
      <c r="I254" s="27" t="s">
        <v>23</v>
      </c>
      <c r="J254" s="27" t="s">
        <v>74</v>
      </c>
      <c r="K254" s="27" t="s">
        <v>623</v>
      </c>
    </row>
    <row r="255" spans="1:11" x14ac:dyDescent="0.3">
      <c r="A255" s="27" t="s">
        <v>802</v>
      </c>
      <c r="B255" s="27" t="s">
        <v>1164</v>
      </c>
      <c r="C255" s="27" t="s">
        <v>1453</v>
      </c>
      <c r="D255" s="27" t="s">
        <v>28</v>
      </c>
      <c r="E255" s="27" t="s">
        <v>39</v>
      </c>
      <c r="F255" s="8">
        <v>28481.16</v>
      </c>
      <c r="G255" s="28">
        <v>43916</v>
      </c>
      <c r="H255" s="8">
        <v>1</v>
      </c>
      <c r="I255" s="27" t="s">
        <v>23</v>
      </c>
      <c r="J255" s="27" t="s">
        <v>107</v>
      </c>
      <c r="K255" s="27" t="s">
        <v>1454</v>
      </c>
    </row>
    <row r="256" spans="1:11" x14ac:dyDescent="0.3">
      <c r="A256" s="27" t="s">
        <v>318</v>
      </c>
      <c r="B256" s="27" t="s">
        <v>1184</v>
      </c>
      <c r="C256" s="27" t="s">
        <v>1185</v>
      </c>
      <c r="D256" s="27" t="s">
        <v>20</v>
      </c>
      <c r="E256" s="27" t="s">
        <v>83</v>
      </c>
      <c r="F256" s="8">
        <v>28481.16</v>
      </c>
      <c r="G256" s="28">
        <v>44228</v>
      </c>
      <c r="H256" s="8">
        <v>1</v>
      </c>
      <c r="I256" s="27" t="s">
        <v>85</v>
      </c>
      <c r="J256" s="27" t="s">
        <v>30</v>
      </c>
      <c r="K256" s="27" t="s">
        <v>1186</v>
      </c>
    </row>
    <row r="257" spans="1:11" x14ac:dyDescent="0.3">
      <c r="A257" s="27" t="s">
        <v>576</v>
      </c>
      <c r="B257" s="27" t="s">
        <v>1337</v>
      </c>
      <c r="C257" s="27" t="s">
        <v>1338</v>
      </c>
      <c r="D257" s="27" t="s">
        <v>28</v>
      </c>
      <c r="E257" s="27" t="s">
        <v>29</v>
      </c>
      <c r="F257" s="8">
        <v>28481.16</v>
      </c>
      <c r="G257" s="28">
        <v>43916</v>
      </c>
      <c r="H257" s="8">
        <v>1</v>
      </c>
      <c r="I257" s="27" t="s">
        <v>23</v>
      </c>
      <c r="J257" s="27" t="s">
        <v>30</v>
      </c>
      <c r="K257" s="27" t="s">
        <v>1339</v>
      </c>
    </row>
    <row r="258" spans="1:11" x14ac:dyDescent="0.3">
      <c r="A258" s="27" t="s">
        <v>916</v>
      </c>
      <c r="B258" s="27" t="s">
        <v>1053</v>
      </c>
      <c r="C258" s="27" t="s">
        <v>1509</v>
      </c>
      <c r="D258" s="27" t="s">
        <v>20</v>
      </c>
      <c r="E258" s="27" t="s">
        <v>39</v>
      </c>
      <c r="F258" s="8">
        <v>28329.77</v>
      </c>
      <c r="G258" s="28">
        <v>43402</v>
      </c>
      <c r="H258" s="8">
        <v>1</v>
      </c>
      <c r="I258" s="27" t="s">
        <v>23</v>
      </c>
      <c r="J258" s="27" t="s">
        <v>24</v>
      </c>
      <c r="K258" s="27" t="s">
        <v>1510</v>
      </c>
    </row>
    <row r="259" spans="1:11" x14ac:dyDescent="0.3">
      <c r="A259" s="27" t="s">
        <v>758</v>
      </c>
      <c r="B259" s="27" t="s">
        <v>1435</v>
      </c>
      <c r="C259" s="27" t="s">
        <v>1436</v>
      </c>
      <c r="D259" s="27" t="s">
        <v>28</v>
      </c>
      <c r="E259" s="27" t="s">
        <v>68</v>
      </c>
      <c r="F259" s="8">
        <v>28305.08</v>
      </c>
      <c r="G259" s="28">
        <v>43754</v>
      </c>
      <c r="H259" s="8">
        <v>1</v>
      </c>
      <c r="I259" s="27" t="s">
        <v>23</v>
      </c>
      <c r="J259" s="27" t="s">
        <v>115</v>
      </c>
      <c r="K259" s="27" t="s">
        <v>760</v>
      </c>
    </row>
    <row r="260" spans="1:11" x14ac:dyDescent="0.3">
      <c r="A260" s="27" t="s">
        <v>661</v>
      </c>
      <c r="B260" s="27" t="s">
        <v>1313</v>
      </c>
      <c r="C260" s="27" t="s">
        <v>1385</v>
      </c>
      <c r="D260" s="27" t="s">
        <v>20</v>
      </c>
      <c r="E260" s="27" t="s">
        <v>78</v>
      </c>
      <c r="F260" s="8">
        <v>28160.79</v>
      </c>
      <c r="G260" s="28">
        <v>43129</v>
      </c>
      <c r="H260" s="8">
        <v>1</v>
      </c>
      <c r="I260" s="27" t="s">
        <v>85</v>
      </c>
      <c r="J260" s="27" t="s">
        <v>107</v>
      </c>
      <c r="K260" s="27" t="s">
        <v>664</v>
      </c>
    </row>
    <row r="261" spans="1:11" x14ac:dyDescent="0.3">
      <c r="A261" s="27" t="s">
        <v>37</v>
      </c>
      <c r="B261" s="27" t="s">
        <v>1015</v>
      </c>
      <c r="C261" s="27" t="s">
        <v>1016</v>
      </c>
      <c r="D261" s="27" t="s">
        <v>28</v>
      </c>
      <c r="E261" s="27" t="s">
        <v>39</v>
      </c>
      <c r="F261" s="8">
        <v>20000</v>
      </c>
      <c r="G261" s="28">
        <v>43164</v>
      </c>
      <c r="H261" s="8">
        <v>1</v>
      </c>
      <c r="I261" s="27" t="s">
        <v>41</v>
      </c>
      <c r="J261" s="27" t="s">
        <v>35</v>
      </c>
      <c r="K261" s="27" t="s">
        <v>42</v>
      </c>
    </row>
    <row r="262" spans="1:11" x14ac:dyDescent="0.3">
      <c r="A262" t="s">
        <v>1540</v>
      </c>
      <c r="F262" s="29">
        <f>SUBTOTAL(101,Emp[Salary])</f>
        <v>73580.06238461539</v>
      </c>
      <c r="H262" s="8"/>
      <c r="K262">
        <f>SUBTOTAL(103,Emp[Mobile Number])</f>
        <v>260</v>
      </c>
    </row>
    <row r="267" spans="1:11" x14ac:dyDescent="0.3">
      <c r="A267" s="8" t="s">
        <v>1582</v>
      </c>
      <c r="B267" s="8" t="s">
        <v>1583</v>
      </c>
      <c r="C267" s="8" t="s">
        <v>1584</v>
      </c>
      <c r="D267" s="8" t="s">
        <v>1585</v>
      </c>
      <c r="E267" s="8" t="s">
        <v>1586</v>
      </c>
    </row>
    <row r="268" spans="1:11" x14ac:dyDescent="0.3">
      <c r="A268" t="s">
        <v>1560</v>
      </c>
      <c r="B268" s="54" t="s">
        <v>18</v>
      </c>
      <c r="C268" s="54" t="s">
        <v>631</v>
      </c>
      <c r="D268" s="38" t="s">
        <v>49</v>
      </c>
      <c r="E268" s="38" t="s">
        <v>32</v>
      </c>
    </row>
    <row r="269" spans="1:11" x14ac:dyDescent="0.3">
      <c r="A269" t="s">
        <v>8</v>
      </c>
      <c r="B269" s="27" t="s">
        <v>1006</v>
      </c>
      <c r="C269" s="27" t="s">
        <v>1009</v>
      </c>
      <c r="D269" s="27" t="s">
        <v>1020</v>
      </c>
      <c r="E269" s="27" t="s">
        <v>1012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19FD9-9606-4916-BA0E-8364EE93B6E5}">
  <dimension ref="A1:J277"/>
  <sheetViews>
    <sheetView workbookViewId="0">
      <selection activeCell="H33" sqref="H33"/>
    </sheetView>
  </sheetViews>
  <sheetFormatPr defaultRowHeight="14.4" x14ac:dyDescent="0.3"/>
  <cols>
    <col min="3" max="3" width="9" customWidth="1"/>
    <col min="4" max="4" width="13" customWidth="1"/>
    <col min="6" max="6" width="11.21875" customWidth="1"/>
    <col min="8" max="8" width="15.44140625" customWidth="1"/>
    <col min="9" max="9" width="14.6640625" customWidth="1"/>
    <col min="10" max="10" width="16.109375" customWidth="1"/>
  </cols>
  <sheetData>
    <row r="1" spans="1:10" x14ac:dyDescent="0.3">
      <c r="A1" s="26" t="s">
        <v>9</v>
      </c>
      <c r="B1" s="26" t="s">
        <v>8</v>
      </c>
      <c r="C1" s="26" t="s">
        <v>10</v>
      </c>
      <c r="D1" s="26" t="s">
        <v>11</v>
      </c>
      <c r="E1" s="26" t="s">
        <v>12</v>
      </c>
      <c r="F1" s="26" t="s">
        <v>13</v>
      </c>
      <c r="G1" s="26" t="s">
        <v>14</v>
      </c>
      <c r="H1" s="26" t="s">
        <v>15</v>
      </c>
      <c r="I1" s="26" t="s">
        <v>16</v>
      </c>
      <c r="J1" s="26" t="s">
        <v>17</v>
      </c>
    </row>
    <row r="2" spans="1:10" x14ac:dyDescent="0.3">
      <c r="A2" s="8" t="s">
        <v>18</v>
      </c>
      <c r="B2" s="8" t="s">
        <v>19</v>
      </c>
      <c r="C2" s="8" t="s">
        <v>20</v>
      </c>
      <c r="D2" s="8" t="s">
        <v>21</v>
      </c>
      <c r="E2" s="8">
        <v>120000</v>
      </c>
      <c r="F2" s="8" t="s">
        <v>22</v>
      </c>
      <c r="G2" s="8">
        <v>1</v>
      </c>
      <c r="H2" s="8" t="s">
        <v>23</v>
      </c>
      <c r="I2" s="8" t="s">
        <v>24</v>
      </c>
      <c r="J2" s="8" t="s">
        <v>25</v>
      </c>
    </row>
    <row r="3" spans="1:10" x14ac:dyDescent="0.3">
      <c r="A3" s="8" t="s">
        <v>26</v>
      </c>
      <c r="B3" s="8" t="s">
        <v>27</v>
      </c>
      <c r="C3" s="8" t="s">
        <v>28</v>
      </c>
      <c r="D3" s="8" t="s">
        <v>29</v>
      </c>
      <c r="E3" s="8">
        <v>98000</v>
      </c>
      <c r="F3" s="9">
        <v>43710</v>
      </c>
      <c r="G3" s="8">
        <v>0.9</v>
      </c>
      <c r="H3" s="8" t="s">
        <v>23</v>
      </c>
      <c r="I3" s="8" t="s">
        <v>30</v>
      </c>
      <c r="J3" s="8" t="s">
        <v>31</v>
      </c>
    </row>
    <row r="4" spans="1:10" x14ac:dyDescent="0.3">
      <c r="A4" s="8" t="s">
        <v>32</v>
      </c>
      <c r="B4" s="8" t="s">
        <v>33</v>
      </c>
      <c r="C4" s="8" t="s">
        <v>28</v>
      </c>
      <c r="D4" s="8" t="s">
        <v>34</v>
      </c>
      <c r="E4" s="8">
        <v>120000</v>
      </c>
      <c r="F4" s="9">
        <v>43902</v>
      </c>
      <c r="G4" s="8">
        <v>0.9</v>
      </c>
      <c r="H4" s="8" t="s">
        <v>23</v>
      </c>
      <c r="I4" s="8" t="s">
        <v>35</v>
      </c>
      <c r="J4" s="8" t="s">
        <v>36</v>
      </c>
    </row>
    <row r="5" spans="1:10" x14ac:dyDescent="0.3">
      <c r="A5" s="8" t="s">
        <v>37</v>
      </c>
      <c r="B5" s="8" t="s">
        <v>38</v>
      </c>
      <c r="C5" s="8" t="s">
        <v>28</v>
      </c>
      <c r="D5" s="8" t="s">
        <v>39</v>
      </c>
      <c r="E5" s="8">
        <v>20000</v>
      </c>
      <c r="F5" s="8" t="s">
        <v>40</v>
      </c>
      <c r="G5" s="8">
        <v>1</v>
      </c>
      <c r="H5" s="8" t="s">
        <v>41</v>
      </c>
      <c r="I5" s="8" t="s">
        <v>35</v>
      </c>
      <c r="J5" s="8" t="s">
        <v>42</v>
      </c>
    </row>
    <row r="6" spans="1:10" x14ac:dyDescent="0.3">
      <c r="A6" s="8" t="s">
        <v>43</v>
      </c>
      <c r="B6" s="8" t="s">
        <v>44</v>
      </c>
      <c r="C6" s="8" t="s">
        <v>20</v>
      </c>
      <c r="D6" s="8" t="s">
        <v>45</v>
      </c>
      <c r="E6" s="8">
        <v>57002.02</v>
      </c>
      <c r="F6" s="8" t="s">
        <v>46</v>
      </c>
      <c r="G6" s="8">
        <v>0.7</v>
      </c>
      <c r="H6" s="8" t="s">
        <v>23</v>
      </c>
      <c r="I6" s="8" t="s">
        <v>47</v>
      </c>
      <c r="J6" s="8" t="s">
        <v>48</v>
      </c>
    </row>
    <row r="7" spans="1:10" x14ac:dyDescent="0.3">
      <c r="A7" s="8" t="s">
        <v>49</v>
      </c>
      <c r="B7" s="8" t="s">
        <v>50</v>
      </c>
      <c r="C7" s="8" t="s">
        <v>20</v>
      </c>
      <c r="D7" s="8" t="s">
        <v>21</v>
      </c>
      <c r="E7" s="8">
        <v>118976.16</v>
      </c>
      <c r="F7" s="8" t="s">
        <v>51</v>
      </c>
      <c r="G7" s="8">
        <v>1</v>
      </c>
      <c r="H7" s="8" t="s">
        <v>23</v>
      </c>
      <c r="I7" s="8" t="s">
        <v>47</v>
      </c>
      <c r="J7" s="8" t="s">
        <v>52</v>
      </c>
    </row>
    <row r="8" spans="1:10" x14ac:dyDescent="0.3">
      <c r="A8" s="8" t="s">
        <v>53</v>
      </c>
      <c r="B8" s="8" t="s">
        <v>54</v>
      </c>
      <c r="C8" s="8" t="s">
        <v>20</v>
      </c>
      <c r="D8" s="8" t="s">
        <v>29</v>
      </c>
      <c r="E8" s="8">
        <v>104802.63</v>
      </c>
      <c r="F8" s="9">
        <v>44502</v>
      </c>
      <c r="G8" s="8">
        <v>1</v>
      </c>
      <c r="H8" s="8" t="s">
        <v>23</v>
      </c>
      <c r="I8" s="8" t="s">
        <v>55</v>
      </c>
      <c r="J8" s="8" t="s">
        <v>56</v>
      </c>
    </row>
    <row r="9" spans="1:10" x14ac:dyDescent="0.3">
      <c r="A9" s="8" t="s">
        <v>57</v>
      </c>
      <c r="B9" s="8" t="s">
        <v>58</v>
      </c>
      <c r="C9" s="8" t="s">
        <v>28</v>
      </c>
      <c r="D9" s="8" t="s">
        <v>29</v>
      </c>
      <c r="E9" s="8">
        <v>66017.179999999993</v>
      </c>
      <c r="F9" s="9">
        <v>43643</v>
      </c>
      <c r="G9" s="8">
        <v>0.9</v>
      </c>
      <c r="H9" s="8" t="s">
        <v>23</v>
      </c>
      <c r="I9" s="8" t="s">
        <v>35</v>
      </c>
      <c r="J9" s="8" t="s">
        <v>59</v>
      </c>
    </row>
    <row r="10" spans="1:10" x14ac:dyDescent="0.3">
      <c r="A10" s="8" t="s">
        <v>60</v>
      </c>
      <c r="B10" s="8" t="s">
        <v>61</v>
      </c>
      <c r="C10" s="8" t="s">
        <v>28</v>
      </c>
      <c r="D10" s="8" t="s">
        <v>21</v>
      </c>
      <c r="E10" s="8">
        <v>74279.009999999995</v>
      </c>
      <c r="F10" s="9">
        <v>43466</v>
      </c>
      <c r="G10" s="8">
        <v>1</v>
      </c>
      <c r="H10" s="8" t="s">
        <v>23</v>
      </c>
      <c r="I10" s="8" t="s">
        <v>35</v>
      </c>
      <c r="J10" s="8" t="s">
        <v>62</v>
      </c>
    </row>
    <row r="11" spans="1:10" x14ac:dyDescent="0.3">
      <c r="A11" s="8" t="s">
        <v>63</v>
      </c>
      <c r="B11" s="8" t="s">
        <v>64</v>
      </c>
      <c r="C11" s="8" t="s">
        <v>28</v>
      </c>
      <c r="D11" s="8" t="s">
        <v>39</v>
      </c>
      <c r="E11" s="8">
        <v>68980.52</v>
      </c>
      <c r="F11" s="9">
        <v>43494</v>
      </c>
      <c r="G11" s="8">
        <v>0.8</v>
      </c>
      <c r="H11" s="8" t="s">
        <v>23</v>
      </c>
      <c r="I11" s="8" t="s">
        <v>47</v>
      </c>
      <c r="J11" s="8" t="s">
        <v>65</v>
      </c>
    </row>
    <row r="12" spans="1:10" x14ac:dyDescent="0.3">
      <c r="A12" s="8" t="s">
        <v>66</v>
      </c>
      <c r="B12" s="8" t="s">
        <v>67</v>
      </c>
      <c r="C12" s="8" t="s">
        <v>20</v>
      </c>
      <c r="D12" s="8" t="s">
        <v>68</v>
      </c>
      <c r="E12" s="8">
        <v>42314.39</v>
      </c>
      <c r="F12" s="8" t="s">
        <v>69</v>
      </c>
      <c r="G12" s="8">
        <v>1</v>
      </c>
      <c r="H12" s="8" t="s">
        <v>41</v>
      </c>
      <c r="I12" s="8" t="s">
        <v>24</v>
      </c>
      <c r="J12" s="8" t="s">
        <v>70</v>
      </c>
    </row>
    <row r="13" spans="1:10" x14ac:dyDescent="0.3">
      <c r="A13" s="8" t="s">
        <v>71</v>
      </c>
      <c r="B13" s="8" t="s">
        <v>72</v>
      </c>
      <c r="C13" s="8" t="s">
        <v>20</v>
      </c>
      <c r="D13" s="8" t="s">
        <v>45</v>
      </c>
      <c r="E13" s="8">
        <v>114425.19</v>
      </c>
      <c r="F13" s="8" t="s">
        <v>73</v>
      </c>
      <c r="G13" s="8">
        <v>1</v>
      </c>
      <c r="H13" s="8" t="s">
        <v>23</v>
      </c>
      <c r="I13" s="8" t="s">
        <v>74</v>
      </c>
      <c r="J13" s="8" t="s">
        <v>75</v>
      </c>
    </row>
    <row r="14" spans="1:10" x14ac:dyDescent="0.3">
      <c r="A14" s="8" t="s">
        <v>76</v>
      </c>
      <c r="B14" s="8" t="s">
        <v>77</v>
      </c>
      <c r="C14" s="8" t="s">
        <v>28</v>
      </c>
      <c r="D14" s="8" t="s">
        <v>78</v>
      </c>
      <c r="E14" s="8">
        <v>69192.850000000006</v>
      </c>
      <c r="F14" s="8" t="s">
        <v>79</v>
      </c>
      <c r="G14" s="8">
        <v>1</v>
      </c>
      <c r="H14" s="8" t="s">
        <v>23</v>
      </c>
      <c r="I14" s="8" t="s">
        <v>55</v>
      </c>
      <c r="J14" s="8" t="s">
        <v>80</v>
      </c>
    </row>
    <row r="15" spans="1:10" x14ac:dyDescent="0.3">
      <c r="A15" s="8" t="s">
        <v>81</v>
      </c>
      <c r="B15" s="8" t="s">
        <v>82</v>
      </c>
      <c r="C15" s="8" t="s">
        <v>28</v>
      </c>
      <c r="D15" s="8" t="s">
        <v>83</v>
      </c>
      <c r="E15" s="8">
        <v>61214.26</v>
      </c>
      <c r="F15" s="8" t="s">
        <v>84</v>
      </c>
      <c r="G15" s="8">
        <v>1</v>
      </c>
      <c r="H15" s="8" t="s">
        <v>85</v>
      </c>
      <c r="I15" s="8" t="s">
        <v>55</v>
      </c>
      <c r="J15" s="8" t="s">
        <v>86</v>
      </c>
    </row>
    <row r="16" spans="1:10" x14ac:dyDescent="0.3">
      <c r="A16" s="8" t="s">
        <v>87</v>
      </c>
      <c r="B16" s="8" t="s">
        <v>88</v>
      </c>
      <c r="C16" s="8" t="s">
        <v>20</v>
      </c>
      <c r="D16" s="8" t="s">
        <v>29</v>
      </c>
      <c r="E16" s="8">
        <v>54137.05</v>
      </c>
      <c r="F16" s="8" t="s">
        <v>89</v>
      </c>
      <c r="G16" s="8">
        <v>1</v>
      </c>
      <c r="H16" s="8" t="s">
        <v>23</v>
      </c>
      <c r="I16" s="8" t="s">
        <v>47</v>
      </c>
      <c r="J16" s="8" t="s">
        <v>90</v>
      </c>
    </row>
    <row r="17" spans="1:10" x14ac:dyDescent="0.3">
      <c r="A17" s="8" t="s">
        <v>91</v>
      </c>
      <c r="B17" s="8" t="s">
        <v>92</v>
      </c>
      <c r="C17" s="8" t="s">
        <v>28</v>
      </c>
      <c r="D17" s="8" t="s">
        <v>39</v>
      </c>
      <c r="E17" s="8">
        <v>37902.35</v>
      </c>
      <c r="F17" s="8" t="s">
        <v>93</v>
      </c>
      <c r="G17" s="8">
        <v>1</v>
      </c>
      <c r="H17" s="8" t="s">
        <v>23</v>
      </c>
      <c r="I17" s="8" t="s">
        <v>24</v>
      </c>
      <c r="J17" s="8" t="s">
        <v>94</v>
      </c>
    </row>
    <row r="18" spans="1:10" x14ac:dyDescent="0.3">
      <c r="A18" s="8" t="s">
        <v>95</v>
      </c>
      <c r="B18" s="8" t="s">
        <v>96</v>
      </c>
      <c r="C18" s="8" t="s">
        <v>20</v>
      </c>
      <c r="D18" s="8" t="s">
        <v>29</v>
      </c>
      <c r="E18" s="8">
        <v>39969.72</v>
      </c>
      <c r="F18" s="8" t="s">
        <v>97</v>
      </c>
      <c r="G18" s="8">
        <v>1</v>
      </c>
      <c r="H18" s="8" t="s">
        <v>85</v>
      </c>
      <c r="I18" s="8" t="s">
        <v>24</v>
      </c>
      <c r="J18" s="8" t="s">
        <v>98</v>
      </c>
    </row>
    <row r="19" spans="1:10" x14ac:dyDescent="0.3">
      <c r="A19" s="8" t="s">
        <v>99</v>
      </c>
      <c r="B19" s="8" t="s">
        <v>100</v>
      </c>
      <c r="C19" s="8" t="s">
        <v>28</v>
      </c>
      <c r="D19" s="8" t="s">
        <v>83</v>
      </c>
      <c r="E19" s="8">
        <v>69913.39</v>
      </c>
      <c r="F19" s="9">
        <v>43584</v>
      </c>
      <c r="G19" s="8">
        <v>1</v>
      </c>
      <c r="H19" s="8" t="s">
        <v>23</v>
      </c>
      <c r="I19" s="8" t="s">
        <v>47</v>
      </c>
      <c r="J19" s="8" t="s">
        <v>101</v>
      </c>
    </row>
    <row r="20" spans="1:10" x14ac:dyDescent="0.3">
      <c r="A20" s="8" t="s">
        <v>102</v>
      </c>
      <c r="B20" s="8" t="s">
        <v>103</v>
      </c>
      <c r="C20" s="8" t="s">
        <v>28</v>
      </c>
      <c r="D20" s="8" t="s">
        <v>29</v>
      </c>
      <c r="E20" s="8">
        <v>52748.63</v>
      </c>
      <c r="F20" s="8" t="s">
        <v>73</v>
      </c>
      <c r="G20" s="8">
        <v>1</v>
      </c>
      <c r="H20" s="8" t="s">
        <v>23</v>
      </c>
      <c r="I20" s="8" t="s">
        <v>55</v>
      </c>
      <c r="J20" s="8" t="s">
        <v>104</v>
      </c>
    </row>
    <row r="21" spans="1:10" x14ac:dyDescent="0.3">
      <c r="A21" s="8" t="s">
        <v>105</v>
      </c>
      <c r="B21" s="8" t="s">
        <v>106</v>
      </c>
      <c r="C21" s="8" t="s">
        <v>28</v>
      </c>
      <c r="D21" s="8" t="s">
        <v>68</v>
      </c>
      <c r="E21" s="8">
        <v>50310.09</v>
      </c>
      <c r="F21" s="9">
        <v>44285</v>
      </c>
      <c r="G21" s="8">
        <v>0.4</v>
      </c>
      <c r="H21" s="8" t="s">
        <v>23</v>
      </c>
      <c r="I21" s="8" t="s">
        <v>107</v>
      </c>
      <c r="J21" s="8" t="s">
        <v>108</v>
      </c>
    </row>
    <row r="22" spans="1:10" x14ac:dyDescent="0.3">
      <c r="A22" s="8" t="s">
        <v>109</v>
      </c>
      <c r="B22" s="8" t="s">
        <v>110</v>
      </c>
      <c r="C22" s="8" t="s">
        <v>20</v>
      </c>
      <c r="D22" s="8" t="s">
        <v>39</v>
      </c>
      <c r="E22" s="8">
        <v>52963.65</v>
      </c>
      <c r="F22" s="9">
        <v>44288</v>
      </c>
      <c r="G22" s="8">
        <v>0.3</v>
      </c>
      <c r="H22" s="8" t="s">
        <v>23</v>
      </c>
      <c r="I22" s="8" t="s">
        <v>74</v>
      </c>
      <c r="J22" s="8" t="s">
        <v>111</v>
      </c>
    </row>
    <row r="23" spans="1:10" x14ac:dyDescent="0.3">
      <c r="A23" s="8" t="s">
        <v>112</v>
      </c>
      <c r="B23" s="8" t="s">
        <v>113</v>
      </c>
      <c r="C23" s="8" t="s">
        <v>20</v>
      </c>
      <c r="D23" s="8" t="s">
        <v>83</v>
      </c>
      <c r="E23" s="8">
        <v>62195.47</v>
      </c>
      <c r="F23" s="8" t="s">
        <v>114</v>
      </c>
      <c r="G23" s="8">
        <v>1</v>
      </c>
      <c r="H23" s="8" t="s">
        <v>23</v>
      </c>
      <c r="I23" s="8" t="s">
        <v>115</v>
      </c>
      <c r="J23" s="8" t="s">
        <v>116</v>
      </c>
    </row>
    <row r="24" spans="1:10" x14ac:dyDescent="0.3">
      <c r="A24" s="8" t="s">
        <v>117</v>
      </c>
      <c r="B24" s="8" t="s">
        <v>118</v>
      </c>
      <c r="C24" s="8" t="s">
        <v>28</v>
      </c>
      <c r="D24" s="8" t="s">
        <v>34</v>
      </c>
      <c r="E24" s="8">
        <v>43329.22</v>
      </c>
      <c r="F24" s="9">
        <v>43809</v>
      </c>
      <c r="G24" s="8">
        <v>0.5</v>
      </c>
      <c r="H24" s="8" t="s">
        <v>41</v>
      </c>
      <c r="I24" s="8" t="s">
        <v>107</v>
      </c>
      <c r="J24" s="8" t="s">
        <v>119</v>
      </c>
    </row>
    <row r="25" spans="1:10" x14ac:dyDescent="0.3">
      <c r="A25" s="8" t="s">
        <v>120</v>
      </c>
      <c r="B25" s="8" t="s">
        <v>121</v>
      </c>
      <c r="C25" s="8" t="s">
        <v>20</v>
      </c>
      <c r="D25" s="8" t="s">
        <v>34</v>
      </c>
      <c r="E25" s="8">
        <v>71570.990000000005</v>
      </c>
      <c r="F25" s="8" t="s">
        <v>122</v>
      </c>
      <c r="G25" s="8">
        <v>0.5</v>
      </c>
      <c r="H25" s="8" t="s">
        <v>23</v>
      </c>
      <c r="I25" s="8" t="s">
        <v>115</v>
      </c>
      <c r="J25" s="8" t="s">
        <v>123</v>
      </c>
    </row>
    <row r="26" spans="1:10" x14ac:dyDescent="0.3">
      <c r="A26" s="8" t="s">
        <v>124</v>
      </c>
      <c r="B26" s="8" t="s">
        <v>125</v>
      </c>
      <c r="C26" s="8" t="s">
        <v>20</v>
      </c>
      <c r="D26" s="8" t="s">
        <v>29</v>
      </c>
      <c r="E26" s="8">
        <v>78840.23</v>
      </c>
      <c r="F26" s="9">
        <v>43633</v>
      </c>
      <c r="G26" s="8">
        <v>1</v>
      </c>
      <c r="H26" s="8" t="s">
        <v>85</v>
      </c>
      <c r="I26" s="8" t="s">
        <v>115</v>
      </c>
      <c r="J26" s="8" t="s">
        <v>126</v>
      </c>
    </row>
    <row r="27" spans="1:10" x14ac:dyDescent="0.3">
      <c r="A27" s="8" t="s">
        <v>127</v>
      </c>
      <c r="B27" s="8" t="s">
        <v>128</v>
      </c>
      <c r="C27" s="8" t="s">
        <v>28</v>
      </c>
      <c r="D27" s="8" t="s">
        <v>83</v>
      </c>
      <c r="E27" s="8">
        <v>61994.76</v>
      </c>
      <c r="F27" s="9">
        <v>43794</v>
      </c>
      <c r="G27" s="8">
        <v>0.3</v>
      </c>
      <c r="H27" s="8" t="s">
        <v>23</v>
      </c>
      <c r="I27" s="8" t="s">
        <v>115</v>
      </c>
      <c r="J27" s="8" t="s">
        <v>129</v>
      </c>
    </row>
    <row r="28" spans="1:10" x14ac:dyDescent="0.3">
      <c r="A28" s="8" t="s">
        <v>130</v>
      </c>
      <c r="B28" s="8" t="s">
        <v>131</v>
      </c>
      <c r="C28" s="8" t="s">
        <v>28</v>
      </c>
      <c r="D28" s="8" t="s">
        <v>21</v>
      </c>
      <c r="E28" s="8">
        <v>89690.38</v>
      </c>
      <c r="F28" s="9">
        <v>43206</v>
      </c>
      <c r="G28" s="8">
        <v>1</v>
      </c>
      <c r="H28" s="8" t="s">
        <v>23</v>
      </c>
      <c r="I28" s="8" t="s">
        <v>74</v>
      </c>
      <c r="J28" s="8" t="s">
        <v>132</v>
      </c>
    </row>
    <row r="29" spans="1:10" x14ac:dyDescent="0.3">
      <c r="A29" s="8" t="s">
        <v>133</v>
      </c>
      <c r="B29" s="8" t="s">
        <v>134</v>
      </c>
      <c r="C29" s="8" t="s">
        <v>28</v>
      </c>
      <c r="D29" s="8" t="s">
        <v>68</v>
      </c>
      <c r="E29" s="8">
        <v>104335.03999999999</v>
      </c>
      <c r="F29" s="9">
        <v>43874</v>
      </c>
      <c r="G29" s="8">
        <v>1</v>
      </c>
      <c r="H29" s="8" t="s">
        <v>23</v>
      </c>
      <c r="I29" s="8" t="s">
        <v>115</v>
      </c>
      <c r="J29" s="8" t="s">
        <v>135</v>
      </c>
    </row>
    <row r="30" spans="1:10" x14ac:dyDescent="0.3">
      <c r="A30" s="8" t="s">
        <v>136</v>
      </c>
      <c r="B30" s="8" t="s">
        <v>137</v>
      </c>
      <c r="C30" s="8"/>
      <c r="D30" s="8" t="s">
        <v>68</v>
      </c>
      <c r="E30" s="8">
        <v>52246.29</v>
      </c>
      <c r="F30" s="8" t="s">
        <v>138</v>
      </c>
      <c r="G30" s="8">
        <v>1</v>
      </c>
      <c r="H30" s="8" t="s">
        <v>85</v>
      </c>
      <c r="I30" s="8" t="s">
        <v>55</v>
      </c>
      <c r="J30" s="8" t="s">
        <v>139</v>
      </c>
    </row>
    <row r="31" spans="1:10" x14ac:dyDescent="0.3">
      <c r="A31" s="8" t="s">
        <v>140</v>
      </c>
      <c r="B31" s="8" t="s">
        <v>141</v>
      </c>
      <c r="C31" s="8" t="s">
        <v>20</v>
      </c>
      <c r="D31" s="8" t="s">
        <v>68</v>
      </c>
      <c r="E31" s="8">
        <v>90697.67</v>
      </c>
      <c r="F31" s="9">
        <v>44221</v>
      </c>
      <c r="G31" s="8">
        <v>0.8</v>
      </c>
      <c r="H31" s="8" t="s">
        <v>23</v>
      </c>
      <c r="I31" s="8" t="s">
        <v>24</v>
      </c>
      <c r="J31" s="8" t="s">
        <v>142</v>
      </c>
    </row>
    <row r="32" spans="1:10" x14ac:dyDescent="0.3">
      <c r="A32" s="8" t="s">
        <v>143</v>
      </c>
      <c r="B32" s="8" t="s">
        <v>144</v>
      </c>
      <c r="C32" s="8" t="s">
        <v>20</v>
      </c>
      <c r="D32" s="8" t="s">
        <v>45</v>
      </c>
      <c r="E32" s="8">
        <v>90884.32</v>
      </c>
      <c r="F32" s="8" t="s">
        <v>145</v>
      </c>
      <c r="G32" s="8">
        <v>1</v>
      </c>
      <c r="H32" s="8" t="s">
        <v>23</v>
      </c>
      <c r="I32" s="8" t="s">
        <v>30</v>
      </c>
      <c r="J32" s="8" t="s">
        <v>146</v>
      </c>
    </row>
    <row r="33" spans="1:10" x14ac:dyDescent="0.3">
      <c r="A33" s="8" t="s">
        <v>147</v>
      </c>
      <c r="B33" s="8" t="s">
        <v>148</v>
      </c>
      <c r="C33" s="8" t="s">
        <v>20</v>
      </c>
      <c r="D33" s="8" t="s">
        <v>34</v>
      </c>
      <c r="E33" s="8">
        <v>76320.44</v>
      </c>
      <c r="F33" s="9">
        <v>44383</v>
      </c>
      <c r="G33" s="8">
        <v>0.8</v>
      </c>
      <c r="H33" s="8" t="s">
        <v>85</v>
      </c>
      <c r="I33" s="8" t="s">
        <v>24</v>
      </c>
      <c r="J33" s="8" t="s">
        <v>149</v>
      </c>
    </row>
    <row r="34" spans="1:10" x14ac:dyDescent="0.3">
      <c r="A34" s="8" t="s">
        <v>150</v>
      </c>
      <c r="B34" s="8" t="s">
        <v>151</v>
      </c>
      <c r="C34" s="8" t="s">
        <v>20</v>
      </c>
      <c r="D34" s="8" t="s">
        <v>34</v>
      </c>
      <c r="E34" s="8">
        <v>73360.38</v>
      </c>
      <c r="F34" s="9">
        <v>43972</v>
      </c>
      <c r="G34" s="8">
        <v>1</v>
      </c>
      <c r="H34" s="8" t="s">
        <v>85</v>
      </c>
      <c r="I34" s="8" t="s">
        <v>35</v>
      </c>
      <c r="J34" s="8" t="s">
        <v>152</v>
      </c>
    </row>
    <row r="35" spans="1:10" x14ac:dyDescent="0.3">
      <c r="A35" s="8" t="s">
        <v>153</v>
      </c>
      <c r="B35" s="8" t="s">
        <v>154</v>
      </c>
      <c r="C35" s="8" t="s">
        <v>28</v>
      </c>
      <c r="D35" s="8" t="s">
        <v>29</v>
      </c>
      <c r="E35" s="8"/>
      <c r="F35" s="8" t="s">
        <v>155</v>
      </c>
      <c r="G35" s="8">
        <v>0.7</v>
      </c>
      <c r="H35" s="8" t="s">
        <v>23</v>
      </c>
      <c r="I35" s="8" t="s">
        <v>107</v>
      </c>
      <c r="J35" s="8" t="s">
        <v>156</v>
      </c>
    </row>
    <row r="36" spans="1:10" x14ac:dyDescent="0.3">
      <c r="A36" s="8" t="s">
        <v>157</v>
      </c>
      <c r="B36" s="8" t="s">
        <v>158</v>
      </c>
      <c r="C36" s="8" t="s">
        <v>20</v>
      </c>
      <c r="D36" s="8" t="s">
        <v>68</v>
      </c>
      <c r="E36" s="8">
        <v>50449.46</v>
      </c>
      <c r="F36" s="8" t="s">
        <v>159</v>
      </c>
      <c r="G36" s="8">
        <v>0.8</v>
      </c>
      <c r="H36" s="8" t="s">
        <v>23</v>
      </c>
      <c r="I36" s="8" t="s">
        <v>47</v>
      </c>
      <c r="J36" s="8" t="s">
        <v>160</v>
      </c>
    </row>
    <row r="37" spans="1:10" x14ac:dyDescent="0.3">
      <c r="A37" s="8" t="s">
        <v>161</v>
      </c>
      <c r="B37" s="8" t="s">
        <v>162</v>
      </c>
      <c r="C37" s="8"/>
      <c r="D37" s="8" t="s">
        <v>83</v>
      </c>
      <c r="E37" s="8">
        <v>53949.26</v>
      </c>
      <c r="F37" s="9">
        <v>43808</v>
      </c>
      <c r="G37" s="8">
        <v>1</v>
      </c>
      <c r="H37" s="8" t="s">
        <v>85</v>
      </c>
      <c r="I37" s="8" t="s">
        <v>107</v>
      </c>
      <c r="J37" s="8" t="s">
        <v>163</v>
      </c>
    </row>
    <row r="38" spans="1:10" x14ac:dyDescent="0.3">
      <c r="A38" s="8" t="s">
        <v>164</v>
      </c>
      <c r="B38" s="8" t="s">
        <v>165</v>
      </c>
      <c r="C38" s="8" t="s">
        <v>20</v>
      </c>
      <c r="D38" s="8" t="s">
        <v>29</v>
      </c>
      <c r="E38" s="8">
        <v>113616.23</v>
      </c>
      <c r="F38" s="9">
        <v>43255</v>
      </c>
      <c r="G38" s="8">
        <v>1</v>
      </c>
      <c r="H38" s="8" t="s">
        <v>23</v>
      </c>
      <c r="I38" s="8" t="s">
        <v>55</v>
      </c>
      <c r="J38" s="8" t="s">
        <v>166</v>
      </c>
    </row>
    <row r="39" spans="1:10" x14ac:dyDescent="0.3">
      <c r="A39" s="8" t="s">
        <v>167</v>
      </c>
      <c r="B39" s="8" t="s">
        <v>168</v>
      </c>
      <c r="C39" s="8" t="s">
        <v>20</v>
      </c>
      <c r="D39" s="8" t="s">
        <v>21</v>
      </c>
      <c r="E39" s="8">
        <v>110906.35</v>
      </c>
      <c r="F39" s="8" t="s">
        <v>169</v>
      </c>
      <c r="G39" s="8">
        <v>1</v>
      </c>
      <c r="H39" s="8" t="s">
        <v>85</v>
      </c>
      <c r="I39" s="8" t="s">
        <v>30</v>
      </c>
      <c r="J39" s="8" t="s">
        <v>170</v>
      </c>
    </row>
    <row r="40" spans="1:10" x14ac:dyDescent="0.3">
      <c r="A40" s="8" t="s">
        <v>171</v>
      </c>
      <c r="B40" s="8" t="s">
        <v>172</v>
      </c>
      <c r="C40" s="8" t="s">
        <v>28</v>
      </c>
      <c r="D40" s="8" t="s">
        <v>68</v>
      </c>
      <c r="E40" s="8">
        <v>100371.31</v>
      </c>
      <c r="F40" s="9">
        <v>44067</v>
      </c>
      <c r="G40" s="8">
        <v>0.8</v>
      </c>
      <c r="H40" s="8" t="s">
        <v>41</v>
      </c>
      <c r="I40" s="8" t="s">
        <v>55</v>
      </c>
      <c r="J40" s="8" t="s">
        <v>173</v>
      </c>
    </row>
    <row r="41" spans="1:10" x14ac:dyDescent="0.3">
      <c r="A41" s="8" t="s">
        <v>174</v>
      </c>
      <c r="B41" s="8" t="s">
        <v>175</v>
      </c>
      <c r="C41" s="8" t="s">
        <v>20</v>
      </c>
      <c r="D41" s="8" t="s">
        <v>29</v>
      </c>
      <c r="E41" s="8">
        <v>69163.39</v>
      </c>
      <c r="F41" s="9">
        <v>43397</v>
      </c>
      <c r="G41" s="8">
        <v>1</v>
      </c>
      <c r="H41" s="8" t="s">
        <v>23</v>
      </c>
      <c r="I41" s="8" t="s">
        <v>47</v>
      </c>
      <c r="J41" s="8" t="s">
        <v>176</v>
      </c>
    </row>
    <row r="42" spans="1:10" x14ac:dyDescent="0.3">
      <c r="A42" s="8" t="s">
        <v>177</v>
      </c>
      <c r="B42" s="8" t="s">
        <v>178</v>
      </c>
      <c r="C42" s="8" t="s">
        <v>20</v>
      </c>
      <c r="D42" s="8" t="s">
        <v>39</v>
      </c>
      <c r="E42" s="8">
        <v>114691.03</v>
      </c>
      <c r="F42" s="8" t="s">
        <v>179</v>
      </c>
      <c r="G42" s="8">
        <v>1</v>
      </c>
      <c r="H42" s="8" t="s">
        <v>85</v>
      </c>
      <c r="I42" s="8" t="s">
        <v>115</v>
      </c>
      <c r="J42" s="8" t="s">
        <v>180</v>
      </c>
    </row>
    <row r="43" spans="1:10" x14ac:dyDescent="0.3">
      <c r="A43" s="8" t="s">
        <v>181</v>
      </c>
      <c r="B43" s="8" t="s">
        <v>182</v>
      </c>
      <c r="C43" s="8" t="s">
        <v>20</v>
      </c>
      <c r="D43" s="8" t="s">
        <v>68</v>
      </c>
      <c r="E43" s="8">
        <v>86556.96</v>
      </c>
      <c r="F43" s="8" t="s">
        <v>183</v>
      </c>
      <c r="G43" s="8">
        <v>1</v>
      </c>
      <c r="H43" s="8" t="s">
        <v>23</v>
      </c>
      <c r="I43" s="8" t="s">
        <v>47</v>
      </c>
      <c r="J43" s="8" t="s">
        <v>184</v>
      </c>
    </row>
    <row r="44" spans="1:10" x14ac:dyDescent="0.3">
      <c r="A44" s="8" t="s">
        <v>185</v>
      </c>
      <c r="B44" s="8" t="s">
        <v>186</v>
      </c>
      <c r="C44" s="8" t="s">
        <v>28</v>
      </c>
      <c r="D44" s="8" t="s">
        <v>83</v>
      </c>
      <c r="E44" s="8">
        <v>31172.77</v>
      </c>
      <c r="F44" s="8" t="s">
        <v>187</v>
      </c>
      <c r="G44" s="8">
        <v>1</v>
      </c>
      <c r="H44" s="8" t="s">
        <v>41</v>
      </c>
      <c r="I44" s="8" t="s">
        <v>107</v>
      </c>
      <c r="J44" s="8" t="s">
        <v>188</v>
      </c>
    </row>
    <row r="45" spans="1:10" x14ac:dyDescent="0.3">
      <c r="A45" s="8" t="s">
        <v>189</v>
      </c>
      <c r="B45" s="8" t="s">
        <v>190</v>
      </c>
      <c r="C45" s="8" t="s">
        <v>20</v>
      </c>
      <c r="D45" s="8" t="s">
        <v>21</v>
      </c>
      <c r="E45" s="8">
        <v>80169.42</v>
      </c>
      <c r="F45" s="8" t="s">
        <v>191</v>
      </c>
      <c r="G45" s="8">
        <v>1</v>
      </c>
      <c r="H45" s="8" t="s">
        <v>23</v>
      </c>
      <c r="I45" s="8" t="s">
        <v>55</v>
      </c>
      <c r="J45" s="8" t="s">
        <v>192</v>
      </c>
    </row>
    <row r="46" spans="1:10" x14ac:dyDescent="0.3">
      <c r="A46" s="8" t="s">
        <v>193</v>
      </c>
      <c r="B46" s="8" t="s">
        <v>194</v>
      </c>
      <c r="C46" s="8" t="s">
        <v>28</v>
      </c>
      <c r="D46" s="8" t="s">
        <v>68</v>
      </c>
      <c r="E46" s="8">
        <v>53949.26</v>
      </c>
      <c r="F46" s="9">
        <v>43808</v>
      </c>
      <c r="G46" s="8">
        <v>1</v>
      </c>
      <c r="H46" s="8" t="s">
        <v>85</v>
      </c>
      <c r="I46" s="8" t="s">
        <v>24</v>
      </c>
      <c r="J46" s="8" t="s">
        <v>195</v>
      </c>
    </row>
    <row r="47" spans="1:10" x14ac:dyDescent="0.3">
      <c r="A47" s="8" t="s">
        <v>196</v>
      </c>
      <c r="B47" s="8" t="s">
        <v>197</v>
      </c>
      <c r="C47" s="8" t="s">
        <v>20</v>
      </c>
      <c r="D47" s="8" t="s">
        <v>39</v>
      </c>
      <c r="E47" s="8">
        <v>58935.92</v>
      </c>
      <c r="F47" s="8" t="s">
        <v>198</v>
      </c>
      <c r="G47" s="8">
        <v>1</v>
      </c>
      <c r="H47" s="8" t="s">
        <v>85</v>
      </c>
      <c r="I47" s="8" t="s">
        <v>115</v>
      </c>
      <c r="J47" s="8" t="s">
        <v>199</v>
      </c>
    </row>
    <row r="48" spans="1:10" x14ac:dyDescent="0.3">
      <c r="A48" s="8" t="s">
        <v>200</v>
      </c>
      <c r="B48" s="8" t="s">
        <v>201</v>
      </c>
      <c r="C48" s="8" t="s">
        <v>20</v>
      </c>
      <c r="D48" s="8" t="s">
        <v>83</v>
      </c>
      <c r="E48" s="8">
        <v>63555.73</v>
      </c>
      <c r="F48" s="8" t="s">
        <v>202</v>
      </c>
      <c r="G48" s="8">
        <v>1</v>
      </c>
      <c r="H48" s="8" t="s">
        <v>23</v>
      </c>
      <c r="I48" s="8" t="s">
        <v>30</v>
      </c>
      <c r="J48" s="8" t="s">
        <v>203</v>
      </c>
    </row>
    <row r="49" spans="1:10" x14ac:dyDescent="0.3">
      <c r="A49" s="8" t="s">
        <v>204</v>
      </c>
      <c r="B49" s="8" t="s">
        <v>205</v>
      </c>
      <c r="C49" s="8" t="s">
        <v>28</v>
      </c>
      <c r="D49" s="8" t="s">
        <v>83</v>
      </c>
      <c r="E49" s="8">
        <v>57419.35</v>
      </c>
      <c r="F49" s="9">
        <v>43305</v>
      </c>
      <c r="G49" s="8">
        <v>1</v>
      </c>
      <c r="H49" s="8" t="s">
        <v>41</v>
      </c>
      <c r="I49" s="8" t="s">
        <v>47</v>
      </c>
      <c r="J49" s="8" t="s">
        <v>206</v>
      </c>
    </row>
    <row r="50" spans="1:10" x14ac:dyDescent="0.3">
      <c r="A50" s="8" t="s">
        <v>207</v>
      </c>
      <c r="B50" s="8" t="s">
        <v>208</v>
      </c>
      <c r="C50" s="8" t="s">
        <v>28</v>
      </c>
      <c r="D50" s="8" t="s">
        <v>21</v>
      </c>
      <c r="E50" s="8">
        <v>67818.14</v>
      </c>
      <c r="F50" s="8" t="s">
        <v>209</v>
      </c>
      <c r="G50" s="8">
        <v>0.6</v>
      </c>
      <c r="H50" s="8" t="s">
        <v>41</v>
      </c>
      <c r="I50" s="8" t="s">
        <v>74</v>
      </c>
      <c r="J50" s="8" t="s">
        <v>210</v>
      </c>
    </row>
    <row r="51" spans="1:10" x14ac:dyDescent="0.3">
      <c r="A51" s="8" t="s">
        <v>211</v>
      </c>
      <c r="B51" s="8" t="s">
        <v>212</v>
      </c>
      <c r="C51" s="8" t="s">
        <v>28</v>
      </c>
      <c r="D51" s="8" t="s">
        <v>78</v>
      </c>
      <c r="E51" s="8">
        <v>44403.77</v>
      </c>
      <c r="F51" s="9">
        <v>43416</v>
      </c>
      <c r="G51" s="8">
        <v>1</v>
      </c>
      <c r="H51" s="8" t="s">
        <v>23</v>
      </c>
      <c r="I51" s="8" t="s">
        <v>55</v>
      </c>
      <c r="J51" s="8" t="s">
        <v>213</v>
      </c>
    </row>
    <row r="52" spans="1:10" x14ac:dyDescent="0.3">
      <c r="A52" s="8" t="s">
        <v>214</v>
      </c>
      <c r="B52" s="8" t="s">
        <v>215</v>
      </c>
      <c r="C52" s="8" t="s">
        <v>28</v>
      </c>
      <c r="D52" s="8" t="s">
        <v>78</v>
      </c>
      <c r="E52" s="8">
        <v>40753.54</v>
      </c>
      <c r="F52" s="9">
        <v>43152</v>
      </c>
      <c r="G52" s="8">
        <v>0.6</v>
      </c>
      <c r="H52" s="8" t="s">
        <v>23</v>
      </c>
      <c r="I52" s="8" t="s">
        <v>107</v>
      </c>
      <c r="J52" s="8" t="s">
        <v>216</v>
      </c>
    </row>
    <row r="53" spans="1:10" x14ac:dyDescent="0.3">
      <c r="A53" s="8" t="s">
        <v>217</v>
      </c>
      <c r="B53" s="8" t="s">
        <v>218</v>
      </c>
      <c r="C53" s="8" t="s">
        <v>28</v>
      </c>
      <c r="D53" s="8" t="s">
        <v>21</v>
      </c>
      <c r="E53" s="8">
        <v>102934.09</v>
      </c>
      <c r="F53" s="8" t="s">
        <v>219</v>
      </c>
      <c r="G53" s="8">
        <v>1</v>
      </c>
      <c r="H53" s="8" t="s">
        <v>23</v>
      </c>
      <c r="I53" s="8" t="s">
        <v>74</v>
      </c>
      <c r="J53" s="8" t="s">
        <v>220</v>
      </c>
    </row>
    <row r="54" spans="1:10" x14ac:dyDescent="0.3">
      <c r="A54" s="8" t="s">
        <v>221</v>
      </c>
      <c r="B54" s="8" t="s">
        <v>222</v>
      </c>
      <c r="C54" s="8" t="s">
        <v>28</v>
      </c>
      <c r="D54" s="8" t="s">
        <v>45</v>
      </c>
      <c r="E54" s="8">
        <v>68860.399999999994</v>
      </c>
      <c r="F54" s="9">
        <v>43508</v>
      </c>
      <c r="G54" s="8">
        <v>0.4</v>
      </c>
      <c r="H54" s="8" t="s">
        <v>23</v>
      </c>
      <c r="I54" s="8" t="s">
        <v>74</v>
      </c>
      <c r="J54" s="8" t="s">
        <v>223</v>
      </c>
    </row>
    <row r="55" spans="1:10" x14ac:dyDescent="0.3">
      <c r="A55" s="8" t="s">
        <v>224</v>
      </c>
      <c r="B55" s="8" t="s">
        <v>225</v>
      </c>
      <c r="C55" s="8" t="s">
        <v>20</v>
      </c>
      <c r="D55" s="8" t="s">
        <v>34</v>
      </c>
      <c r="E55" s="8">
        <v>79567.69</v>
      </c>
      <c r="F55" s="9">
        <v>43272</v>
      </c>
      <c r="G55" s="8">
        <v>1</v>
      </c>
      <c r="H55" s="8" t="s">
        <v>41</v>
      </c>
      <c r="I55" s="8" t="s">
        <v>35</v>
      </c>
      <c r="J55" s="8" t="s">
        <v>226</v>
      </c>
    </row>
    <row r="56" spans="1:10" x14ac:dyDescent="0.3">
      <c r="A56" s="8" t="s">
        <v>227</v>
      </c>
      <c r="B56" s="8" t="s">
        <v>228</v>
      </c>
      <c r="C56" s="8" t="s">
        <v>28</v>
      </c>
      <c r="D56" s="8" t="s">
        <v>68</v>
      </c>
      <c r="E56" s="8">
        <v>35943.620000000003</v>
      </c>
      <c r="F56" s="9">
        <v>44078</v>
      </c>
      <c r="G56" s="8">
        <v>1</v>
      </c>
      <c r="H56" s="8" t="s">
        <v>23</v>
      </c>
      <c r="I56" s="8" t="s">
        <v>35</v>
      </c>
      <c r="J56" s="8" t="s">
        <v>229</v>
      </c>
    </row>
    <row r="57" spans="1:10" x14ac:dyDescent="0.3">
      <c r="A57" s="8" t="s">
        <v>230</v>
      </c>
      <c r="B57" s="8" t="s">
        <v>231</v>
      </c>
      <c r="C57" s="8" t="s">
        <v>28</v>
      </c>
      <c r="D57" s="8" t="s">
        <v>68</v>
      </c>
      <c r="E57" s="8">
        <v>116767.63</v>
      </c>
      <c r="F57" s="9">
        <v>43949</v>
      </c>
      <c r="G57" s="8">
        <v>0.4</v>
      </c>
      <c r="H57" s="8" t="s">
        <v>85</v>
      </c>
      <c r="I57" s="8" t="s">
        <v>74</v>
      </c>
      <c r="J57" s="8" t="s">
        <v>232</v>
      </c>
    </row>
    <row r="58" spans="1:10" x14ac:dyDescent="0.3">
      <c r="A58" s="8" t="s">
        <v>233</v>
      </c>
      <c r="B58" s="8" t="s">
        <v>234</v>
      </c>
      <c r="C58" s="8" t="s">
        <v>20</v>
      </c>
      <c r="D58" s="8" t="s">
        <v>39</v>
      </c>
      <c r="E58" s="8">
        <v>85455.53</v>
      </c>
      <c r="F58" s="9">
        <v>43839</v>
      </c>
      <c r="G58" s="8">
        <v>1</v>
      </c>
      <c r="H58" s="8" t="s">
        <v>23</v>
      </c>
      <c r="I58" s="8" t="s">
        <v>115</v>
      </c>
      <c r="J58" s="8" t="s">
        <v>235</v>
      </c>
    </row>
    <row r="59" spans="1:10" x14ac:dyDescent="0.3">
      <c r="A59" s="8" t="s">
        <v>236</v>
      </c>
      <c r="B59" s="8" t="s">
        <v>237</v>
      </c>
      <c r="C59" s="8" t="s">
        <v>28</v>
      </c>
      <c r="D59" s="8" t="s">
        <v>68</v>
      </c>
      <c r="E59" s="8">
        <v>39700.82</v>
      </c>
      <c r="F59" s="9">
        <v>44203</v>
      </c>
      <c r="G59" s="8">
        <v>0.8</v>
      </c>
      <c r="H59" s="8" t="s">
        <v>23</v>
      </c>
      <c r="I59" s="8" t="s">
        <v>107</v>
      </c>
      <c r="J59" s="8" t="s">
        <v>238</v>
      </c>
    </row>
    <row r="60" spans="1:10" x14ac:dyDescent="0.3">
      <c r="A60" s="8" t="s">
        <v>239</v>
      </c>
      <c r="B60" s="8" t="s">
        <v>240</v>
      </c>
      <c r="C60" s="8" t="s">
        <v>28</v>
      </c>
      <c r="D60" s="8" t="s">
        <v>39</v>
      </c>
      <c r="E60" s="8">
        <v>38438.239999999998</v>
      </c>
      <c r="F60" s="8" t="s">
        <v>241</v>
      </c>
      <c r="G60" s="8">
        <v>1</v>
      </c>
      <c r="H60" s="8" t="s">
        <v>23</v>
      </c>
      <c r="I60" s="8" t="s">
        <v>30</v>
      </c>
      <c r="J60" s="8" t="s">
        <v>242</v>
      </c>
    </row>
    <row r="61" spans="1:10" x14ac:dyDescent="0.3">
      <c r="A61" s="8" t="s">
        <v>243</v>
      </c>
      <c r="B61" s="8" t="s">
        <v>244</v>
      </c>
      <c r="C61" s="8" t="s">
        <v>28</v>
      </c>
      <c r="D61" s="8" t="s">
        <v>68</v>
      </c>
      <c r="E61" s="8">
        <v>50855.53</v>
      </c>
      <c r="F61" s="8" t="s">
        <v>245</v>
      </c>
      <c r="G61" s="8">
        <v>1</v>
      </c>
      <c r="H61" s="8" t="s">
        <v>23</v>
      </c>
      <c r="I61" s="8" t="s">
        <v>107</v>
      </c>
      <c r="J61" s="8" t="s">
        <v>246</v>
      </c>
    </row>
    <row r="62" spans="1:10" x14ac:dyDescent="0.3">
      <c r="A62" s="8" t="s">
        <v>247</v>
      </c>
      <c r="B62" s="8" t="s">
        <v>248</v>
      </c>
      <c r="C62" s="8" t="s">
        <v>28</v>
      </c>
      <c r="D62" s="8" t="s">
        <v>29</v>
      </c>
      <c r="E62" s="8">
        <v>0</v>
      </c>
      <c r="F62" s="8" t="s">
        <v>249</v>
      </c>
      <c r="G62" s="8">
        <v>0.2</v>
      </c>
      <c r="H62" s="8" t="s">
        <v>23</v>
      </c>
      <c r="I62" s="8" t="s">
        <v>47</v>
      </c>
      <c r="J62" s="8" t="s">
        <v>250</v>
      </c>
    </row>
    <row r="63" spans="1:10" x14ac:dyDescent="0.3">
      <c r="A63" s="8" t="s">
        <v>251</v>
      </c>
      <c r="B63" s="8" t="s">
        <v>252</v>
      </c>
      <c r="C63" s="8" t="s">
        <v>20</v>
      </c>
      <c r="D63" s="8" t="s">
        <v>39</v>
      </c>
      <c r="E63" s="8">
        <v>37362.300000000003</v>
      </c>
      <c r="F63" s="8" t="s">
        <v>253</v>
      </c>
      <c r="G63" s="8">
        <v>1</v>
      </c>
      <c r="H63" s="8" t="s">
        <v>23</v>
      </c>
      <c r="I63" s="8" t="s">
        <v>107</v>
      </c>
      <c r="J63" s="8" t="s">
        <v>254</v>
      </c>
    </row>
    <row r="64" spans="1:10" x14ac:dyDescent="0.3">
      <c r="A64" s="8" t="s">
        <v>255</v>
      </c>
      <c r="B64" s="8" t="s">
        <v>256</v>
      </c>
      <c r="C64" s="8" t="s">
        <v>20</v>
      </c>
      <c r="D64" s="8" t="s">
        <v>39</v>
      </c>
      <c r="E64" s="8">
        <v>72876.91</v>
      </c>
      <c r="F64" s="8" t="s">
        <v>257</v>
      </c>
      <c r="G64" s="8">
        <v>0.4</v>
      </c>
      <c r="H64" s="8" t="s">
        <v>41</v>
      </c>
      <c r="I64" s="8" t="s">
        <v>24</v>
      </c>
      <c r="J64" s="8" t="s">
        <v>258</v>
      </c>
    </row>
    <row r="65" spans="1:10" x14ac:dyDescent="0.3">
      <c r="A65" s="8" t="s">
        <v>259</v>
      </c>
      <c r="B65" s="8" t="s">
        <v>260</v>
      </c>
      <c r="C65" s="8" t="s">
        <v>20</v>
      </c>
      <c r="D65" s="8" t="s">
        <v>21</v>
      </c>
      <c r="E65" s="8">
        <v>31042.51</v>
      </c>
      <c r="F65" s="9">
        <v>44473</v>
      </c>
      <c r="G65" s="8">
        <v>0.3</v>
      </c>
      <c r="H65" s="8" t="s">
        <v>41</v>
      </c>
      <c r="I65" s="8" t="s">
        <v>115</v>
      </c>
      <c r="J65" s="8" t="s">
        <v>261</v>
      </c>
    </row>
    <row r="66" spans="1:10" x14ac:dyDescent="0.3">
      <c r="A66" s="8" t="s">
        <v>262</v>
      </c>
      <c r="B66" s="8" t="s">
        <v>263</v>
      </c>
      <c r="C66" s="8" t="s">
        <v>20</v>
      </c>
      <c r="D66" s="8" t="s">
        <v>39</v>
      </c>
      <c r="E66" s="8">
        <v>63705.4</v>
      </c>
      <c r="F66" s="9">
        <v>43682</v>
      </c>
      <c r="G66" s="8">
        <v>1</v>
      </c>
      <c r="H66" s="8" t="s">
        <v>23</v>
      </c>
      <c r="I66" s="8" t="s">
        <v>35</v>
      </c>
      <c r="J66" s="8" t="s">
        <v>264</v>
      </c>
    </row>
    <row r="67" spans="1:10" x14ac:dyDescent="0.3">
      <c r="A67" s="8" t="s">
        <v>265</v>
      </c>
      <c r="B67" s="8" t="s">
        <v>266</v>
      </c>
      <c r="C67" s="8" t="s">
        <v>20</v>
      </c>
      <c r="D67" s="8" t="s">
        <v>21</v>
      </c>
      <c r="E67" s="8">
        <v>59434.18</v>
      </c>
      <c r="F67" s="8" t="s">
        <v>267</v>
      </c>
      <c r="G67" s="8">
        <v>1</v>
      </c>
      <c r="H67" s="8" t="s">
        <v>85</v>
      </c>
      <c r="I67" s="8" t="s">
        <v>35</v>
      </c>
      <c r="J67" s="8" t="s">
        <v>268</v>
      </c>
    </row>
    <row r="68" spans="1:10" x14ac:dyDescent="0.3">
      <c r="A68" s="8" t="s">
        <v>269</v>
      </c>
      <c r="B68" s="8" t="s">
        <v>270</v>
      </c>
      <c r="C68" s="8" t="s">
        <v>20</v>
      </c>
      <c r="D68" s="8" t="s">
        <v>39</v>
      </c>
      <c r="E68" s="8">
        <v>84762.76</v>
      </c>
      <c r="F68" s="9">
        <v>43332</v>
      </c>
      <c r="G68" s="8">
        <v>1</v>
      </c>
      <c r="H68" s="8" t="s">
        <v>23</v>
      </c>
      <c r="I68" s="8" t="s">
        <v>115</v>
      </c>
      <c r="J68" s="8" t="s">
        <v>271</v>
      </c>
    </row>
    <row r="69" spans="1:10" x14ac:dyDescent="0.3">
      <c r="A69" s="8" t="s">
        <v>272</v>
      </c>
      <c r="B69" s="8" t="s">
        <v>273</v>
      </c>
      <c r="C69" s="8" t="s">
        <v>20</v>
      </c>
      <c r="D69" s="8" t="s">
        <v>78</v>
      </c>
      <c r="E69" s="8">
        <v>69057.320000000007</v>
      </c>
      <c r="F69" s="9">
        <v>43390</v>
      </c>
      <c r="G69" s="8">
        <v>1</v>
      </c>
      <c r="H69" s="8" t="s">
        <v>23</v>
      </c>
      <c r="I69" s="8" t="s">
        <v>107</v>
      </c>
      <c r="J69" s="8" t="s">
        <v>274</v>
      </c>
    </row>
    <row r="70" spans="1:10" x14ac:dyDescent="0.3">
      <c r="A70" s="8" t="s">
        <v>275</v>
      </c>
      <c r="B70" s="8" t="s">
        <v>276</v>
      </c>
      <c r="C70" s="8" t="s">
        <v>28</v>
      </c>
      <c r="D70" s="8" t="s">
        <v>83</v>
      </c>
      <c r="E70" s="8">
        <v>99448.78</v>
      </c>
      <c r="F70" s="8" t="s">
        <v>277</v>
      </c>
      <c r="G70" s="8">
        <v>1</v>
      </c>
      <c r="H70" s="8" t="s">
        <v>41</v>
      </c>
      <c r="I70" s="8" t="s">
        <v>55</v>
      </c>
      <c r="J70" s="8" t="s">
        <v>278</v>
      </c>
    </row>
    <row r="71" spans="1:10" x14ac:dyDescent="0.3">
      <c r="A71" s="8" t="s">
        <v>279</v>
      </c>
      <c r="B71" s="8" t="s">
        <v>280</v>
      </c>
      <c r="C71" s="8" t="s">
        <v>28</v>
      </c>
      <c r="D71" s="8" t="s">
        <v>68</v>
      </c>
      <c r="E71" s="8">
        <v>66865.490000000005</v>
      </c>
      <c r="F71" s="8" t="s">
        <v>281</v>
      </c>
      <c r="G71" s="8">
        <v>1</v>
      </c>
      <c r="H71" s="8" t="s">
        <v>23</v>
      </c>
      <c r="I71" s="8" t="s">
        <v>24</v>
      </c>
      <c r="J71" s="8" t="s">
        <v>282</v>
      </c>
    </row>
    <row r="72" spans="1:10" x14ac:dyDescent="0.3">
      <c r="A72" s="8" t="s">
        <v>283</v>
      </c>
      <c r="B72" s="8" t="s">
        <v>284</v>
      </c>
      <c r="C72" s="8" t="s">
        <v>28</v>
      </c>
      <c r="D72" s="8" t="s">
        <v>68</v>
      </c>
      <c r="E72" s="8">
        <v>113747.56</v>
      </c>
      <c r="F72" s="8" t="s">
        <v>285</v>
      </c>
      <c r="G72" s="8">
        <v>0.7</v>
      </c>
      <c r="H72" s="8" t="s">
        <v>85</v>
      </c>
      <c r="I72" s="8" t="s">
        <v>115</v>
      </c>
      <c r="J72" s="8" t="s">
        <v>286</v>
      </c>
    </row>
    <row r="73" spans="1:10" x14ac:dyDescent="0.3">
      <c r="A73" s="8" t="s">
        <v>287</v>
      </c>
      <c r="B73" s="8" t="s">
        <v>288</v>
      </c>
      <c r="C73" s="8" t="s">
        <v>28</v>
      </c>
      <c r="D73" s="8" t="s">
        <v>39</v>
      </c>
      <c r="E73" s="8">
        <v>85918.61</v>
      </c>
      <c r="F73" s="8" t="s">
        <v>289</v>
      </c>
      <c r="G73" s="8">
        <v>1</v>
      </c>
      <c r="H73" s="8" t="s">
        <v>23</v>
      </c>
      <c r="I73" s="8" t="s">
        <v>107</v>
      </c>
      <c r="J73" s="8" t="s">
        <v>290</v>
      </c>
    </row>
    <row r="74" spans="1:10" x14ac:dyDescent="0.3">
      <c r="A74" s="8" t="s">
        <v>291</v>
      </c>
      <c r="B74" s="8" t="s">
        <v>292</v>
      </c>
      <c r="C74" s="8" t="s">
        <v>28</v>
      </c>
      <c r="D74" s="8" t="s">
        <v>21</v>
      </c>
      <c r="E74" s="8">
        <v>51165.37</v>
      </c>
      <c r="F74" s="8" t="s">
        <v>293</v>
      </c>
      <c r="G74" s="8">
        <v>1</v>
      </c>
      <c r="H74" s="8" t="s">
        <v>41</v>
      </c>
      <c r="I74" s="8" t="s">
        <v>35</v>
      </c>
      <c r="J74" s="8" t="s">
        <v>294</v>
      </c>
    </row>
    <row r="75" spans="1:10" x14ac:dyDescent="0.3">
      <c r="A75" s="8" t="s">
        <v>295</v>
      </c>
      <c r="B75" s="8" t="s">
        <v>296</v>
      </c>
      <c r="C75" s="8" t="s">
        <v>28</v>
      </c>
      <c r="D75" s="8" t="s">
        <v>78</v>
      </c>
      <c r="E75" s="8"/>
      <c r="F75" s="9">
        <v>44011</v>
      </c>
      <c r="G75" s="8">
        <v>1</v>
      </c>
      <c r="H75" s="8" t="s">
        <v>23</v>
      </c>
      <c r="I75" s="8" t="s">
        <v>35</v>
      </c>
      <c r="J75" s="8" t="s">
        <v>297</v>
      </c>
    </row>
    <row r="76" spans="1:10" x14ac:dyDescent="0.3">
      <c r="A76" s="8" t="s">
        <v>298</v>
      </c>
      <c r="B76" s="8" t="s">
        <v>299</v>
      </c>
      <c r="C76" s="8"/>
      <c r="D76" s="8" t="s">
        <v>1002</v>
      </c>
      <c r="E76" s="8">
        <v>67957.899999999994</v>
      </c>
      <c r="F76" s="9">
        <v>43430</v>
      </c>
      <c r="G76" s="8">
        <v>1</v>
      </c>
      <c r="H76" s="8" t="s">
        <v>23</v>
      </c>
      <c r="I76" s="8" t="s">
        <v>24</v>
      </c>
      <c r="J76" s="8" t="s">
        <v>300</v>
      </c>
    </row>
    <row r="77" spans="1:10" x14ac:dyDescent="0.3">
      <c r="A77" s="8" t="s">
        <v>301</v>
      </c>
      <c r="B77" s="8" t="s">
        <v>302</v>
      </c>
      <c r="C77" s="8" t="s">
        <v>20</v>
      </c>
      <c r="D77" s="8" t="s">
        <v>78</v>
      </c>
      <c r="E77" s="8">
        <v>114465.93</v>
      </c>
      <c r="F77" s="9">
        <v>43291</v>
      </c>
      <c r="G77" s="8">
        <v>1</v>
      </c>
      <c r="H77" s="8" t="s">
        <v>85</v>
      </c>
      <c r="I77" s="8" t="s">
        <v>30</v>
      </c>
      <c r="J77" s="8" t="s">
        <v>303</v>
      </c>
    </row>
    <row r="78" spans="1:10" x14ac:dyDescent="0.3">
      <c r="A78" s="8" t="s">
        <v>304</v>
      </c>
      <c r="B78" s="8" t="s">
        <v>305</v>
      </c>
      <c r="C78" s="8" t="s">
        <v>20</v>
      </c>
      <c r="D78" s="8" t="s">
        <v>29</v>
      </c>
      <c r="E78" s="8">
        <v>65699.02</v>
      </c>
      <c r="F78" s="8" t="s">
        <v>306</v>
      </c>
      <c r="G78" s="8">
        <v>1</v>
      </c>
      <c r="H78" s="8" t="s">
        <v>23</v>
      </c>
      <c r="I78" s="8" t="s">
        <v>30</v>
      </c>
      <c r="J78" s="8" t="s">
        <v>307</v>
      </c>
    </row>
    <row r="79" spans="1:10" x14ac:dyDescent="0.3">
      <c r="A79" s="8" t="s">
        <v>308</v>
      </c>
      <c r="B79" s="8" t="s">
        <v>309</v>
      </c>
      <c r="C79" s="8" t="s">
        <v>20</v>
      </c>
      <c r="D79" s="8" t="s">
        <v>68</v>
      </c>
      <c r="E79" s="8">
        <v>83191.95</v>
      </c>
      <c r="F79" s="9">
        <v>43700</v>
      </c>
      <c r="G79" s="8">
        <v>0.6</v>
      </c>
      <c r="H79" s="8" t="s">
        <v>85</v>
      </c>
      <c r="I79" s="8" t="s">
        <v>55</v>
      </c>
      <c r="J79" s="8" t="s">
        <v>310</v>
      </c>
    </row>
    <row r="80" spans="1:10" x14ac:dyDescent="0.3">
      <c r="A80" s="8" t="s">
        <v>311</v>
      </c>
      <c r="B80" s="8" t="s">
        <v>312</v>
      </c>
      <c r="C80" s="8" t="s">
        <v>20</v>
      </c>
      <c r="D80" s="8" t="s">
        <v>39</v>
      </c>
      <c r="E80" s="8">
        <v>106775.14</v>
      </c>
      <c r="F80" s="9">
        <v>43563</v>
      </c>
      <c r="G80" s="8">
        <v>1</v>
      </c>
      <c r="H80" s="8" t="s">
        <v>41</v>
      </c>
      <c r="I80" s="8" t="s">
        <v>55</v>
      </c>
      <c r="J80" s="8" t="s">
        <v>313</v>
      </c>
    </row>
    <row r="81" spans="1:10" x14ac:dyDescent="0.3">
      <c r="A81" s="8" t="s">
        <v>314</v>
      </c>
      <c r="B81" s="8" t="s">
        <v>315</v>
      </c>
      <c r="C81" s="8" t="s">
        <v>28</v>
      </c>
      <c r="D81" s="8" t="s">
        <v>83</v>
      </c>
      <c r="E81" s="8">
        <v>83396.5</v>
      </c>
      <c r="F81" s="8" t="s">
        <v>316</v>
      </c>
      <c r="G81" s="8">
        <v>1</v>
      </c>
      <c r="H81" s="8" t="s">
        <v>85</v>
      </c>
      <c r="I81" s="8" t="s">
        <v>55</v>
      </c>
      <c r="J81" s="8" t="s">
        <v>317</v>
      </c>
    </row>
    <row r="82" spans="1:10" x14ac:dyDescent="0.3">
      <c r="A82" s="8" t="s">
        <v>318</v>
      </c>
      <c r="B82" s="8" t="s">
        <v>319</v>
      </c>
      <c r="C82" s="8" t="s">
        <v>20</v>
      </c>
      <c r="D82" s="8" t="s">
        <v>83</v>
      </c>
      <c r="E82" s="8">
        <v>28481.16</v>
      </c>
      <c r="F82" s="8" t="s">
        <v>320</v>
      </c>
      <c r="G82" s="8">
        <v>1</v>
      </c>
      <c r="H82" s="8" t="s">
        <v>85</v>
      </c>
      <c r="I82" s="8" t="s">
        <v>30</v>
      </c>
      <c r="J82" s="8" t="s">
        <v>321</v>
      </c>
    </row>
    <row r="83" spans="1:10" x14ac:dyDescent="0.3">
      <c r="A83" s="8" t="s">
        <v>322</v>
      </c>
      <c r="B83" s="8" t="s">
        <v>323</v>
      </c>
      <c r="C83" s="8" t="s">
        <v>20</v>
      </c>
      <c r="D83" s="8" t="s">
        <v>29</v>
      </c>
      <c r="E83" s="8">
        <v>32192.15</v>
      </c>
      <c r="F83" s="8" t="s">
        <v>324</v>
      </c>
      <c r="G83" s="8">
        <v>1</v>
      </c>
      <c r="H83" s="8" t="s">
        <v>23</v>
      </c>
      <c r="I83" s="8" t="s">
        <v>107</v>
      </c>
      <c r="J83" s="8" t="s">
        <v>325</v>
      </c>
    </row>
    <row r="84" spans="1:10" x14ac:dyDescent="0.3">
      <c r="A84" s="8" t="s">
        <v>326</v>
      </c>
      <c r="B84" s="8" t="s">
        <v>327</v>
      </c>
      <c r="C84" s="8" t="s">
        <v>28</v>
      </c>
      <c r="D84" s="8" t="s">
        <v>29</v>
      </c>
      <c r="E84" s="8">
        <v>112645.99</v>
      </c>
      <c r="F84" s="8" t="s">
        <v>328</v>
      </c>
      <c r="G84" s="8">
        <v>0.6</v>
      </c>
      <c r="H84" s="8" t="s">
        <v>23</v>
      </c>
      <c r="I84" s="8" t="s">
        <v>107</v>
      </c>
      <c r="J84" s="8" t="s">
        <v>329</v>
      </c>
    </row>
    <row r="85" spans="1:10" x14ac:dyDescent="0.3">
      <c r="A85" s="8" t="s">
        <v>330</v>
      </c>
      <c r="B85" s="8" t="s">
        <v>331</v>
      </c>
      <c r="C85" s="8" t="s">
        <v>20</v>
      </c>
      <c r="D85" s="8" t="s">
        <v>83</v>
      </c>
      <c r="E85" s="8">
        <v>107107.6</v>
      </c>
      <c r="F85" s="8" t="s">
        <v>332</v>
      </c>
      <c r="G85" s="8">
        <v>0.9</v>
      </c>
      <c r="H85" s="8" t="s">
        <v>23</v>
      </c>
      <c r="I85" s="8" t="s">
        <v>107</v>
      </c>
      <c r="J85" s="8" t="s">
        <v>333</v>
      </c>
    </row>
    <row r="86" spans="1:10" x14ac:dyDescent="0.3">
      <c r="A86" s="8" t="s">
        <v>334</v>
      </c>
      <c r="B86" s="8" t="s">
        <v>335</v>
      </c>
      <c r="C86" s="8" t="s">
        <v>28</v>
      </c>
      <c r="D86" s="8" t="s">
        <v>21</v>
      </c>
      <c r="E86" s="8">
        <v>80695.740000000005</v>
      </c>
      <c r="F86" s="8" t="s">
        <v>336</v>
      </c>
      <c r="G86" s="8">
        <v>0.8</v>
      </c>
      <c r="H86" s="8" t="s">
        <v>23</v>
      </c>
      <c r="I86" s="8" t="s">
        <v>115</v>
      </c>
      <c r="J86" s="8" t="s">
        <v>337</v>
      </c>
    </row>
    <row r="87" spans="1:10" x14ac:dyDescent="0.3">
      <c r="A87" s="8" t="s">
        <v>338</v>
      </c>
      <c r="B87" s="8" t="s">
        <v>339</v>
      </c>
      <c r="C87" s="8" t="s">
        <v>28</v>
      </c>
      <c r="D87" s="8" t="s">
        <v>39</v>
      </c>
      <c r="E87" s="8">
        <v>75475.929999999993</v>
      </c>
      <c r="F87" s="8" t="s">
        <v>340</v>
      </c>
      <c r="G87" s="8">
        <v>1</v>
      </c>
      <c r="H87" s="8" t="s">
        <v>23</v>
      </c>
      <c r="I87" s="8" t="s">
        <v>55</v>
      </c>
      <c r="J87" s="8" t="s">
        <v>341</v>
      </c>
    </row>
    <row r="88" spans="1:10" x14ac:dyDescent="0.3">
      <c r="A88" s="8" t="s">
        <v>342</v>
      </c>
      <c r="B88" s="8" t="s">
        <v>343</v>
      </c>
      <c r="C88" s="8" t="s">
        <v>28</v>
      </c>
      <c r="D88" s="8" t="s">
        <v>39</v>
      </c>
      <c r="E88" s="8">
        <v>86558.58</v>
      </c>
      <c r="F88" s="8" t="s">
        <v>344</v>
      </c>
      <c r="G88" s="8">
        <v>1</v>
      </c>
      <c r="H88" s="8" t="s">
        <v>41</v>
      </c>
      <c r="I88" s="8" t="s">
        <v>107</v>
      </c>
      <c r="J88" s="8" t="s">
        <v>345</v>
      </c>
    </row>
    <row r="89" spans="1:10" x14ac:dyDescent="0.3">
      <c r="A89" s="8" t="s">
        <v>346</v>
      </c>
      <c r="B89" s="8" t="s">
        <v>347</v>
      </c>
      <c r="C89" s="8" t="s">
        <v>20</v>
      </c>
      <c r="D89" s="8" t="s">
        <v>83</v>
      </c>
      <c r="E89" s="8">
        <v>84309.95</v>
      </c>
      <c r="F89" s="9">
        <v>44501</v>
      </c>
      <c r="G89" s="8">
        <v>1</v>
      </c>
      <c r="H89" s="8" t="s">
        <v>23</v>
      </c>
      <c r="I89" s="8" t="s">
        <v>47</v>
      </c>
      <c r="J89" s="8" t="s">
        <v>348</v>
      </c>
    </row>
    <row r="90" spans="1:10" x14ac:dyDescent="0.3">
      <c r="A90" s="8" t="s">
        <v>349</v>
      </c>
      <c r="B90" s="8" t="s">
        <v>350</v>
      </c>
      <c r="C90" s="8" t="s">
        <v>28</v>
      </c>
      <c r="D90" s="8" t="s">
        <v>34</v>
      </c>
      <c r="E90" s="8">
        <v>91645.04</v>
      </c>
      <c r="F90" s="9">
        <v>44223</v>
      </c>
      <c r="G90" s="8">
        <v>1</v>
      </c>
      <c r="H90" s="8" t="s">
        <v>23</v>
      </c>
      <c r="I90" s="8" t="s">
        <v>55</v>
      </c>
      <c r="J90" s="8" t="s">
        <v>351</v>
      </c>
    </row>
    <row r="91" spans="1:10" x14ac:dyDescent="0.3">
      <c r="A91" s="8" t="s">
        <v>352</v>
      </c>
      <c r="B91" s="8" t="s">
        <v>353</v>
      </c>
      <c r="C91" s="8" t="s">
        <v>28</v>
      </c>
      <c r="D91" s="8" t="s">
        <v>45</v>
      </c>
      <c r="E91" s="8">
        <v>101187.36</v>
      </c>
      <c r="F91" s="9">
        <v>43258</v>
      </c>
      <c r="G91" s="8">
        <v>1</v>
      </c>
      <c r="H91" s="8" t="s">
        <v>41</v>
      </c>
      <c r="I91" s="8" t="s">
        <v>30</v>
      </c>
      <c r="J91" s="8" t="s">
        <v>354</v>
      </c>
    </row>
    <row r="92" spans="1:10" x14ac:dyDescent="0.3">
      <c r="A92" s="8" t="s">
        <v>355</v>
      </c>
      <c r="B92" s="8" t="s">
        <v>356</v>
      </c>
      <c r="C92" s="8" t="s">
        <v>28</v>
      </c>
      <c r="D92" s="8" t="s">
        <v>34</v>
      </c>
      <c r="E92" s="8">
        <v>80169.42</v>
      </c>
      <c r="F92" s="8" t="s">
        <v>191</v>
      </c>
      <c r="G92" s="8">
        <v>1</v>
      </c>
      <c r="H92" s="8" t="s">
        <v>23</v>
      </c>
      <c r="I92" s="8" t="s">
        <v>47</v>
      </c>
      <c r="J92" s="8" t="s">
        <v>357</v>
      </c>
    </row>
    <row r="93" spans="1:10" x14ac:dyDescent="0.3">
      <c r="A93" s="8" t="s">
        <v>358</v>
      </c>
      <c r="B93" s="8" t="s">
        <v>359</v>
      </c>
      <c r="C93" s="8" t="s">
        <v>28</v>
      </c>
      <c r="D93" s="8" t="s">
        <v>45</v>
      </c>
      <c r="E93" s="8">
        <v>104038.9</v>
      </c>
      <c r="F93" s="9">
        <v>43815</v>
      </c>
      <c r="G93" s="8">
        <v>1</v>
      </c>
      <c r="H93" s="8" t="s">
        <v>41</v>
      </c>
      <c r="I93" s="8" t="s">
        <v>47</v>
      </c>
      <c r="J93" s="8" t="s">
        <v>360</v>
      </c>
    </row>
    <row r="94" spans="1:10" x14ac:dyDescent="0.3">
      <c r="A94" s="8" t="s">
        <v>361</v>
      </c>
      <c r="B94" s="8" t="s">
        <v>362</v>
      </c>
      <c r="C94" s="8" t="s">
        <v>20</v>
      </c>
      <c r="D94" s="8" t="s">
        <v>1002</v>
      </c>
      <c r="E94" s="8">
        <v>99683.67</v>
      </c>
      <c r="F94" s="8" t="s">
        <v>363</v>
      </c>
      <c r="G94" s="8">
        <v>1</v>
      </c>
      <c r="H94" s="8" t="s">
        <v>41</v>
      </c>
      <c r="I94" s="8" t="s">
        <v>107</v>
      </c>
      <c r="J94" s="8" t="s">
        <v>364</v>
      </c>
    </row>
    <row r="95" spans="1:10" x14ac:dyDescent="0.3">
      <c r="A95" s="8" t="s">
        <v>365</v>
      </c>
      <c r="B95" s="8" t="s">
        <v>366</v>
      </c>
      <c r="C95" s="8" t="s">
        <v>20</v>
      </c>
      <c r="D95" s="8" t="s">
        <v>39</v>
      </c>
      <c r="E95" s="8">
        <v>47362.62</v>
      </c>
      <c r="F95" s="8" t="s">
        <v>367</v>
      </c>
      <c r="G95" s="8">
        <v>1</v>
      </c>
      <c r="H95" s="8" t="s">
        <v>85</v>
      </c>
      <c r="I95" s="8" t="s">
        <v>30</v>
      </c>
      <c r="J95" s="8" t="s">
        <v>368</v>
      </c>
    </row>
    <row r="96" spans="1:10" x14ac:dyDescent="0.3">
      <c r="A96" s="8" t="s">
        <v>369</v>
      </c>
      <c r="B96" s="8" t="s">
        <v>370</v>
      </c>
      <c r="C96" s="8" t="s">
        <v>28</v>
      </c>
      <c r="D96" s="8" t="s">
        <v>68</v>
      </c>
      <c r="E96" s="8">
        <v>70649.460000000006</v>
      </c>
      <c r="F96" s="8" t="s">
        <v>371</v>
      </c>
      <c r="G96" s="8">
        <v>1</v>
      </c>
      <c r="H96" s="8" t="s">
        <v>23</v>
      </c>
      <c r="I96" s="8" t="s">
        <v>30</v>
      </c>
      <c r="J96" s="8" t="s">
        <v>372</v>
      </c>
    </row>
    <row r="97" spans="1:10" x14ac:dyDescent="0.3">
      <c r="A97" s="8" t="s">
        <v>373</v>
      </c>
      <c r="B97" s="8" t="s">
        <v>374</v>
      </c>
      <c r="C97" s="8" t="s">
        <v>20</v>
      </c>
      <c r="D97" s="8" t="s">
        <v>21</v>
      </c>
      <c r="E97" s="8">
        <v>75733.740000000005</v>
      </c>
      <c r="F97" s="8" t="s">
        <v>375</v>
      </c>
      <c r="G97" s="8">
        <v>1</v>
      </c>
      <c r="H97" s="8" t="s">
        <v>23</v>
      </c>
      <c r="I97" s="8" t="s">
        <v>47</v>
      </c>
      <c r="J97" s="8" t="s">
        <v>376</v>
      </c>
    </row>
    <row r="98" spans="1:10" x14ac:dyDescent="0.3">
      <c r="A98" s="8" t="s">
        <v>377</v>
      </c>
      <c r="B98" s="8" t="s">
        <v>378</v>
      </c>
      <c r="C98" s="8" t="s">
        <v>20</v>
      </c>
      <c r="D98" s="8" t="s">
        <v>68</v>
      </c>
      <c r="E98" s="8">
        <v>71823.56</v>
      </c>
      <c r="F98" s="8" t="s">
        <v>379</v>
      </c>
      <c r="G98" s="8">
        <v>0.3</v>
      </c>
      <c r="H98" s="8" t="s">
        <v>85</v>
      </c>
      <c r="I98" s="8" t="s">
        <v>55</v>
      </c>
      <c r="J98" s="8" t="s">
        <v>380</v>
      </c>
    </row>
    <row r="99" spans="1:10" x14ac:dyDescent="0.3">
      <c r="A99" s="8" t="s">
        <v>381</v>
      </c>
      <c r="B99" s="8" t="s">
        <v>382</v>
      </c>
      <c r="C99" s="8" t="s">
        <v>28</v>
      </c>
      <c r="D99" s="8" t="s">
        <v>68</v>
      </c>
      <c r="E99" s="8">
        <v>41934.71</v>
      </c>
      <c r="F99" s="9">
        <v>43943</v>
      </c>
      <c r="G99" s="8">
        <v>1</v>
      </c>
      <c r="H99" s="8" t="s">
        <v>23</v>
      </c>
      <c r="I99" s="8" t="s">
        <v>24</v>
      </c>
      <c r="J99" s="8" t="s">
        <v>383</v>
      </c>
    </row>
    <row r="100" spans="1:10" x14ac:dyDescent="0.3">
      <c r="A100" s="8" t="s">
        <v>384</v>
      </c>
      <c r="B100" s="8" t="s">
        <v>385</v>
      </c>
      <c r="C100" s="8" t="s">
        <v>28</v>
      </c>
      <c r="D100" s="8" t="s">
        <v>39</v>
      </c>
      <c r="E100" s="8">
        <v>66572.58</v>
      </c>
      <c r="F100" s="8" t="s">
        <v>386</v>
      </c>
      <c r="G100" s="8">
        <v>1</v>
      </c>
      <c r="H100" s="8" t="s">
        <v>23</v>
      </c>
      <c r="I100" s="8" t="s">
        <v>115</v>
      </c>
      <c r="J100" s="8" t="s">
        <v>387</v>
      </c>
    </row>
    <row r="101" spans="1:10" x14ac:dyDescent="0.3">
      <c r="A101" s="8" t="s">
        <v>388</v>
      </c>
      <c r="B101" s="8" t="s">
        <v>389</v>
      </c>
      <c r="C101" s="8" t="s">
        <v>28</v>
      </c>
      <c r="D101" s="8" t="s">
        <v>29</v>
      </c>
      <c r="E101" s="8">
        <v>76932.600000000006</v>
      </c>
      <c r="F101" s="8" t="s">
        <v>390</v>
      </c>
      <c r="G101" s="8">
        <v>1</v>
      </c>
      <c r="H101" s="8" t="s">
        <v>23</v>
      </c>
      <c r="I101" s="8" t="s">
        <v>47</v>
      </c>
      <c r="J101" s="8" t="s">
        <v>391</v>
      </c>
    </row>
    <row r="102" spans="1:10" x14ac:dyDescent="0.3">
      <c r="A102" s="8" t="s">
        <v>392</v>
      </c>
      <c r="B102" s="8" t="s">
        <v>393</v>
      </c>
      <c r="C102" s="8" t="s">
        <v>20</v>
      </c>
      <c r="D102" s="8" t="s">
        <v>83</v>
      </c>
      <c r="E102" s="8">
        <v>59258.19</v>
      </c>
      <c r="F102" s="9">
        <v>43452</v>
      </c>
      <c r="G102" s="8">
        <v>0.8</v>
      </c>
      <c r="H102" s="8" t="s">
        <v>23</v>
      </c>
      <c r="I102" s="8" t="s">
        <v>115</v>
      </c>
      <c r="J102" s="8" t="s">
        <v>394</v>
      </c>
    </row>
    <row r="103" spans="1:10" x14ac:dyDescent="0.3">
      <c r="A103" s="8" t="s">
        <v>395</v>
      </c>
      <c r="B103" s="8" t="s">
        <v>396</v>
      </c>
      <c r="C103" s="8" t="s">
        <v>20</v>
      </c>
      <c r="D103" s="8" t="s">
        <v>29</v>
      </c>
      <c r="E103" s="8">
        <v>112778.28</v>
      </c>
      <c r="F103" s="9">
        <v>43250</v>
      </c>
      <c r="G103" s="8">
        <v>1</v>
      </c>
      <c r="H103" s="8" t="s">
        <v>41</v>
      </c>
      <c r="I103" s="8" t="s">
        <v>107</v>
      </c>
      <c r="J103" s="8" t="s">
        <v>397</v>
      </c>
    </row>
    <row r="104" spans="1:10" x14ac:dyDescent="0.3">
      <c r="A104" s="8" t="s">
        <v>398</v>
      </c>
      <c r="B104" s="8" t="s">
        <v>399</v>
      </c>
      <c r="C104" s="8" t="s">
        <v>28</v>
      </c>
      <c r="D104" s="8" t="s">
        <v>34</v>
      </c>
      <c r="E104" s="8">
        <v>44845.33</v>
      </c>
      <c r="F104" s="8" t="s">
        <v>400</v>
      </c>
      <c r="G104" s="8">
        <v>1</v>
      </c>
      <c r="H104" s="8" t="s">
        <v>23</v>
      </c>
      <c r="I104" s="8" t="s">
        <v>24</v>
      </c>
      <c r="J104" s="8" t="s">
        <v>401</v>
      </c>
    </row>
    <row r="105" spans="1:10" x14ac:dyDescent="0.3">
      <c r="A105" s="8" t="s">
        <v>402</v>
      </c>
      <c r="B105" s="8" t="s">
        <v>403</v>
      </c>
      <c r="C105" s="8" t="s">
        <v>20</v>
      </c>
      <c r="D105" s="8" t="s">
        <v>29</v>
      </c>
      <c r="E105" s="8">
        <v>115191.38</v>
      </c>
      <c r="F105" s="9">
        <v>44004</v>
      </c>
      <c r="G105" s="8">
        <v>1</v>
      </c>
      <c r="H105" s="8" t="s">
        <v>23</v>
      </c>
      <c r="I105" s="8" t="s">
        <v>35</v>
      </c>
      <c r="J105" s="8" t="s">
        <v>404</v>
      </c>
    </row>
    <row r="106" spans="1:10" x14ac:dyDescent="0.3">
      <c r="A106" s="8" t="s">
        <v>405</v>
      </c>
      <c r="B106" s="8" t="s">
        <v>406</v>
      </c>
      <c r="C106" s="8" t="s">
        <v>28</v>
      </c>
      <c r="D106" s="8" t="s">
        <v>83</v>
      </c>
      <c r="E106" s="8">
        <v>111049.84</v>
      </c>
      <c r="F106" s="9">
        <v>44393</v>
      </c>
      <c r="G106" s="8">
        <v>1</v>
      </c>
      <c r="H106" s="8" t="s">
        <v>23</v>
      </c>
      <c r="I106" s="8" t="s">
        <v>115</v>
      </c>
      <c r="J106" s="8" t="s">
        <v>407</v>
      </c>
    </row>
    <row r="107" spans="1:10" x14ac:dyDescent="0.3">
      <c r="A107" s="8" t="s">
        <v>408</v>
      </c>
      <c r="B107" s="8" t="s">
        <v>409</v>
      </c>
      <c r="C107" s="8" t="s">
        <v>20</v>
      </c>
      <c r="D107" s="8" t="s">
        <v>34</v>
      </c>
      <c r="E107" s="8">
        <v>75974.990000000005</v>
      </c>
      <c r="F107" s="8" t="s">
        <v>410</v>
      </c>
      <c r="G107" s="8">
        <v>1</v>
      </c>
      <c r="H107" s="8" t="s">
        <v>23</v>
      </c>
      <c r="I107" s="8" t="s">
        <v>107</v>
      </c>
      <c r="J107" s="8" t="s">
        <v>411</v>
      </c>
    </row>
    <row r="108" spans="1:10" x14ac:dyDescent="0.3">
      <c r="A108" s="8" t="s">
        <v>412</v>
      </c>
      <c r="B108" s="8" t="s">
        <v>413</v>
      </c>
      <c r="C108" s="8" t="s">
        <v>20</v>
      </c>
      <c r="D108" s="8" t="s">
        <v>29</v>
      </c>
      <c r="E108" s="8">
        <v>42161.77</v>
      </c>
      <c r="F108" s="8" t="s">
        <v>414</v>
      </c>
      <c r="G108" s="8">
        <v>1</v>
      </c>
      <c r="H108" s="8" t="s">
        <v>23</v>
      </c>
      <c r="I108" s="8" t="s">
        <v>47</v>
      </c>
      <c r="J108" s="8" t="s">
        <v>415</v>
      </c>
    </row>
    <row r="109" spans="1:10" x14ac:dyDescent="0.3">
      <c r="A109" s="8" t="s">
        <v>416</v>
      </c>
      <c r="B109" s="8" t="s">
        <v>417</v>
      </c>
      <c r="C109" s="8" t="s">
        <v>28</v>
      </c>
      <c r="D109" s="8" t="s">
        <v>45</v>
      </c>
      <c r="E109" s="8">
        <v>71371.37</v>
      </c>
      <c r="F109" s="9">
        <v>43392</v>
      </c>
      <c r="G109" s="8">
        <v>1</v>
      </c>
      <c r="H109" s="8" t="s">
        <v>23</v>
      </c>
      <c r="I109" s="8" t="s">
        <v>107</v>
      </c>
      <c r="J109" s="8" t="s">
        <v>418</v>
      </c>
    </row>
    <row r="110" spans="1:10" x14ac:dyDescent="0.3">
      <c r="A110" s="8" t="s">
        <v>419</v>
      </c>
      <c r="B110" s="8" t="s">
        <v>420</v>
      </c>
      <c r="C110" s="8" t="s">
        <v>20</v>
      </c>
      <c r="D110" s="8" t="s">
        <v>45</v>
      </c>
      <c r="E110" s="8">
        <v>49915.14</v>
      </c>
      <c r="F110" s="8" t="s">
        <v>421</v>
      </c>
      <c r="G110" s="8">
        <v>1</v>
      </c>
      <c r="H110" s="8" t="s">
        <v>23</v>
      </c>
      <c r="I110" s="8" t="s">
        <v>30</v>
      </c>
      <c r="J110" s="8" t="s">
        <v>422</v>
      </c>
    </row>
    <row r="111" spans="1:10" x14ac:dyDescent="0.3">
      <c r="A111" s="8" t="s">
        <v>423</v>
      </c>
      <c r="B111" s="8" t="s">
        <v>424</v>
      </c>
      <c r="C111" s="8" t="s">
        <v>28</v>
      </c>
      <c r="D111" s="8" t="s">
        <v>39</v>
      </c>
      <c r="E111" s="8">
        <v>0</v>
      </c>
      <c r="F111" s="9">
        <v>44011</v>
      </c>
      <c r="G111" s="8">
        <v>1</v>
      </c>
      <c r="H111" s="8" t="s">
        <v>23</v>
      </c>
      <c r="I111" s="8" t="s">
        <v>47</v>
      </c>
      <c r="J111" s="8" t="s">
        <v>425</v>
      </c>
    </row>
    <row r="112" spans="1:10" x14ac:dyDescent="0.3">
      <c r="A112" s="8" t="s">
        <v>426</v>
      </c>
      <c r="B112" s="8" t="s">
        <v>427</v>
      </c>
      <c r="C112" s="8" t="s">
        <v>28</v>
      </c>
      <c r="D112" s="8" t="s">
        <v>34</v>
      </c>
      <c r="E112" s="8">
        <v>37062.1</v>
      </c>
      <c r="F112" s="9">
        <v>44357</v>
      </c>
      <c r="G112" s="8">
        <v>1</v>
      </c>
      <c r="H112" s="8" t="s">
        <v>85</v>
      </c>
      <c r="I112" s="8" t="s">
        <v>35</v>
      </c>
      <c r="J112" s="8" t="s">
        <v>428</v>
      </c>
    </row>
    <row r="113" spans="1:10" x14ac:dyDescent="0.3">
      <c r="A113" s="8" t="s">
        <v>429</v>
      </c>
      <c r="B113" s="8" t="s">
        <v>430</v>
      </c>
      <c r="C113" s="8" t="s">
        <v>28</v>
      </c>
      <c r="D113" s="8" t="s">
        <v>39</v>
      </c>
      <c r="E113" s="8">
        <v>0</v>
      </c>
      <c r="F113" s="9">
        <v>43504</v>
      </c>
      <c r="G113" s="8">
        <v>1</v>
      </c>
      <c r="H113" s="8" t="s">
        <v>23</v>
      </c>
      <c r="I113" s="8" t="s">
        <v>30</v>
      </c>
      <c r="J113" s="8" t="s">
        <v>431</v>
      </c>
    </row>
    <row r="114" spans="1:10" x14ac:dyDescent="0.3">
      <c r="A114" s="8" t="s">
        <v>432</v>
      </c>
      <c r="B114" s="8" t="s">
        <v>433</v>
      </c>
      <c r="C114" s="8" t="s">
        <v>20</v>
      </c>
      <c r="D114" s="8" t="s">
        <v>21</v>
      </c>
      <c r="E114" s="8"/>
      <c r="F114" s="9">
        <v>44077</v>
      </c>
      <c r="G114" s="8">
        <v>1</v>
      </c>
      <c r="H114" s="8" t="s">
        <v>41</v>
      </c>
      <c r="I114" s="8" t="s">
        <v>55</v>
      </c>
      <c r="J114" s="8" t="s">
        <v>434</v>
      </c>
    </row>
    <row r="115" spans="1:10" x14ac:dyDescent="0.3">
      <c r="A115" s="8" t="s">
        <v>435</v>
      </c>
      <c r="B115" s="8" t="s">
        <v>436</v>
      </c>
      <c r="C115" s="8" t="s">
        <v>20</v>
      </c>
      <c r="D115" s="8" t="s">
        <v>78</v>
      </c>
      <c r="E115" s="8">
        <v>90884.32</v>
      </c>
      <c r="F115" s="8" t="s">
        <v>145</v>
      </c>
      <c r="G115" s="8">
        <v>1</v>
      </c>
      <c r="H115" s="8" t="s">
        <v>23</v>
      </c>
      <c r="I115" s="8" t="s">
        <v>107</v>
      </c>
      <c r="J115" s="8" t="s">
        <v>437</v>
      </c>
    </row>
    <row r="116" spans="1:10" x14ac:dyDescent="0.3">
      <c r="A116" s="8" t="s">
        <v>438</v>
      </c>
      <c r="B116" s="8" t="s">
        <v>439</v>
      </c>
      <c r="C116" s="8" t="s">
        <v>28</v>
      </c>
      <c r="D116" s="8" t="s">
        <v>39</v>
      </c>
      <c r="E116" s="8">
        <v>89838.77</v>
      </c>
      <c r="F116" s="9">
        <v>43602</v>
      </c>
      <c r="G116" s="8">
        <v>1</v>
      </c>
      <c r="H116" s="8" t="s">
        <v>23</v>
      </c>
      <c r="I116" s="8" t="s">
        <v>74</v>
      </c>
      <c r="J116" s="8" t="s">
        <v>440</v>
      </c>
    </row>
    <row r="117" spans="1:10" x14ac:dyDescent="0.3">
      <c r="A117" s="8" t="s">
        <v>441</v>
      </c>
      <c r="B117" s="8" t="s">
        <v>442</v>
      </c>
      <c r="C117" s="8" t="s">
        <v>20</v>
      </c>
      <c r="D117" s="8" t="s">
        <v>78</v>
      </c>
      <c r="E117" s="8">
        <v>0</v>
      </c>
      <c r="F117" s="8" t="s">
        <v>443</v>
      </c>
      <c r="G117" s="8">
        <v>1</v>
      </c>
      <c r="H117" s="8" t="s">
        <v>23</v>
      </c>
      <c r="I117" s="8" t="s">
        <v>74</v>
      </c>
      <c r="J117" s="8" t="s">
        <v>444</v>
      </c>
    </row>
    <row r="118" spans="1:10" x14ac:dyDescent="0.3">
      <c r="A118" s="8" t="s">
        <v>445</v>
      </c>
      <c r="B118" s="8" t="s">
        <v>446</v>
      </c>
      <c r="C118" s="8" t="s">
        <v>20</v>
      </c>
      <c r="D118" s="8" t="s">
        <v>83</v>
      </c>
      <c r="E118" s="8">
        <v>68887.839999999997</v>
      </c>
      <c r="F118" s="9">
        <v>43297</v>
      </c>
      <c r="G118" s="8">
        <v>1</v>
      </c>
      <c r="H118" s="8" t="s">
        <v>23</v>
      </c>
      <c r="I118" s="8" t="s">
        <v>30</v>
      </c>
      <c r="J118" s="8" t="s">
        <v>447</v>
      </c>
    </row>
    <row r="119" spans="1:10" x14ac:dyDescent="0.3">
      <c r="A119" s="8" t="s">
        <v>448</v>
      </c>
      <c r="B119" s="8" t="s">
        <v>449</v>
      </c>
      <c r="C119" s="8" t="s">
        <v>28</v>
      </c>
      <c r="D119" s="8" t="s">
        <v>21</v>
      </c>
      <c r="E119" s="8">
        <v>106775.14</v>
      </c>
      <c r="F119" s="9">
        <v>43563</v>
      </c>
      <c r="G119" s="8">
        <v>1</v>
      </c>
      <c r="H119" s="8" t="s">
        <v>41</v>
      </c>
      <c r="I119" s="8" t="s">
        <v>55</v>
      </c>
      <c r="J119" s="8" t="s">
        <v>450</v>
      </c>
    </row>
    <row r="120" spans="1:10" x14ac:dyDescent="0.3">
      <c r="A120" s="8" t="s">
        <v>451</v>
      </c>
      <c r="B120" s="8" t="s">
        <v>452</v>
      </c>
      <c r="C120" s="8" t="s">
        <v>28</v>
      </c>
      <c r="D120" s="8" t="s">
        <v>78</v>
      </c>
      <c r="E120" s="8">
        <v>89690.38</v>
      </c>
      <c r="F120" s="8" t="s">
        <v>453</v>
      </c>
      <c r="G120" s="8">
        <v>1</v>
      </c>
      <c r="H120" s="8" t="s">
        <v>23</v>
      </c>
      <c r="I120" s="8" t="s">
        <v>55</v>
      </c>
      <c r="J120" s="8" t="s">
        <v>454</v>
      </c>
    </row>
    <row r="121" spans="1:10" x14ac:dyDescent="0.3">
      <c r="A121" s="8" t="s">
        <v>455</v>
      </c>
      <c r="B121" s="8" t="s">
        <v>456</v>
      </c>
      <c r="C121" s="8" t="s">
        <v>28</v>
      </c>
      <c r="D121" s="8" t="s">
        <v>39</v>
      </c>
      <c r="E121" s="8">
        <v>111229.47</v>
      </c>
      <c r="F121" s="8" t="s">
        <v>457</v>
      </c>
      <c r="G121" s="8">
        <v>1</v>
      </c>
      <c r="H121" s="8" t="s">
        <v>23</v>
      </c>
      <c r="I121" s="8" t="s">
        <v>24</v>
      </c>
      <c r="J121" s="8" t="s">
        <v>458</v>
      </c>
    </row>
    <row r="122" spans="1:10" x14ac:dyDescent="0.3">
      <c r="A122" s="8" t="s">
        <v>459</v>
      </c>
      <c r="B122" s="8" t="s">
        <v>460</v>
      </c>
      <c r="C122" s="8" t="s">
        <v>20</v>
      </c>
      <c r="D122" s="8" t="s">
        <v>45</v>
      </c>
      <c r="E122" s="8">
        <v>67633.850000000006</v>
      </c>
      <c r="F122" s="9">
        <v>43340</v>
      </c>
      <c r="G122" s="8">
        <v>1</v>
      </c>
      <c r="H122" s="8" t="s">
        <v>23</v>
      </c>
      <c r="I122" s="8" t="s">
        <v>30</v>
      </c>
      <c r="J122" s="8" t="s">
        <v>461</v>
      </c>
    </row>
    <row r="123" spans="1:10" x14ac:dyDescent="0.3">
      <c r="A123" s="8" t="s">
        <v>462</v>
      </c>
      <c r="B123" s="8" t="s">
        <v>463</v>
      </c>
      <c r="C123" s="8" t="s">
        <v>28</v>
      </c>
      <c r="D123" s="8" t="s">
        <v>68</v>
      </c>
      <c r="E123" s="8">
        <v>111815.49</v>
      </c>
      <c r="F123" s="9">
        <v>43895</v>
      </c>
      <c r="G123" s="8">
        <v>0.7</v>
      </c>
      <c r="H123" s="8" t="s">
        <v>85</v>
      </c>
      <c r="I123" s="8" t="s">
        <v>74</v>
      </c>
      <c r="J123" s="8" t="s">
        <v>464</v>
      </c>
    </row>
    <row r="124" spans="1:10" x14ac:dyDescent="0.3">
      <c r="A124" s="8" t="s">
        <v>465</v>
      </c>
      <c r="B124" s="8" t="s">
        <v>466</v>
      </c>
      <c r="C124" s="8" t="s">
        <v>28</v>
      </c>
      <c r="D124" s="8" t="s">
        <v>39</v>
      </c>
      <c r="E124" s="8">
        <v>39784.239999999998</v>
      </c>
      <c r="F124" s="8" t="s">
        <v>467</v>
      </c>
      <c r="G124" s="8">
        <v>1</v>
      </c>
      <c r="H124" s="8" t="s">
        <v>41</v>
      </c>
      <c r="I124" s="8" t="s">
        <v>35</v>
      </c>
      <c r="J124" s="8" t="s">
        <v>468</v>
      </c>
    </row>
    <row r="125" spans="1:10" x14ac:dyDescent="0.3">
      <c r="A125" s="8" t="s">
        <v>469</v>
      </c>
      <c r="B125" s="8" t="s">
        <v>470</v>
      </c>
      <c r="C125" s="8" t="s">
        <v>20</v>
      </c>
      <c r="D125" s="8" t="s">
        <v>68</v>
      </c>
      <c r="E125" s="8">
        <v>89829.33</v>
      </c>
      <c r="F125" s="9">
        <v>43794</v>
      </c>
      <c r="G125" s="8">
        <v>1</v>
      </c>
      <c r="H125" s="8" t="s">
        <v>85</v>
      </c>
      <c r="I125" s="8" t="s">
        <v>55</v>
      </c>
      <c r="J125" s="8" t="s">
        <v>471</v>
      </c>
    </row>
    <row r="126" spans="1:10" x14ac:dyDescent="0.3">
      <c r="A126" s="8" t="s">
        <v>472</v>
      </c>
      <c r="B126" s="8" t="s">
        <v>473</v>
      </c>
      <c r="C126" s="8" t="s">
        <v>20</v>
      </c>
      <c r="D126" s="8" t="s">
        <v>34</v>
      </c>
      <c r="E126" s="8">
        <v>111815.49</v>
      </c>
      <c r="F126" s="9">
        <v>43895</v>
      </c>
      <c r="G126" s="8">
        <v>0.7</v>
      </c>
      <c r="H126" s="8" t="s">
        <v>85</v>
      </c>
      <c r="I126" s="8" t="s">
        <v>47</v>
      </c>
      <c r="J126" s="8" t="s">
        <v>474</v>
      </c>
    </row>
    <row r="127" spans="1:10" x14ac:dyDescent="0.3">
      <c r="A127" s="8" t="s">
        <v>475</v>
      </c>
      <c r="B127" s="8" t="s">
        <v>476</v>
      </c>
      <c r="C127" s="8" t="s">
        <v>28</v>
      </c>
      <c r="D127" s="8" t="s">
        <v>68</v>
      </c>
      <c r="E127" s="8">
        <v>72843.23</v>
      </c>
      <c r="F127" s="9">
        <v>43280</v>
      </c>
      <c r="G127" s="8">
        <v>1</v>
      </c>
      <c r="H127" s="8" t="s">
        <v>41</v>
      </c>
      <c r="I127" s="8" t="s">
        <v>115</v>
      </c>
      <c r="J127" s="8" t="s">
        <v>477</v>
      </c>
    </row>
    <row r="128" spans="1:10" x14ac:dyDescent="0.3">
      <c r="A128" s="8" t="s">
        <v>478</v>
      </c>
      <c r="B128" s="8" t="s">
        <v>479</v>
      </c>
      <c r="C128" s="8" t="s">
        <v>20</v>
      </c>
      <c r="D128" s="8" t="s">
        <v>29</v>
      </c>
      <c r="E128" s="8">
        <v>71823.56</v>
      </c>
      <c r="F128" s="8" t="s">
        <v>379</v>
      </c>
      <c r="G128" s="8">
        <v>0.3</v>
      </c>
      <c r="H128" s="8" t="s">
        <v>85</v>
      </c>
      <c r="I128" s="8" t="s">
        <v>55</v>
      </c>
      <c r="J128" s="8" t="s">
        <v>480</v>
      </c>
    </row>
    <row r="129" spans="1:10" x14ac:dyDescent="0.3">
      <c r="A129" s="8" t="s">
        <v>481</v>
      </c>
      <c r="B129" s="8" t="s">
        <v>482</v>
      </c>
      <c r="C129" s="8" t="s">
        <v>20</v>
      </c>
      <c r="D129" s="8" t="s">
        <v>68</v>
      </c>
      <c r="E129" s="8">
        <v>88511.17</v>
      </c>
      <c r="F129" s="8" t="s">
        <v>483</v>
      </c>
      <c r="G129" s="8">
        <v>1</v>
      </c>
      <c r="H129" s="8" t="s">
        <v>23</v>
      </c>
      <c r="I129" s="8" t="s">
        <v>30</v>
      </c>
      <c r="J129" s="8" t="s">
        <v>484</v>
      </c>
    </row>
    <row r="130" spans="1:10" x14ac:dyDescent="0.3">
      <c r="A130" s="8" t="s">
        <v>485</v>
      </c>
      <c r="B130" s="8" t="s">
        <v>486</v>
      </c>
      <c r="C130" s="8" t="s">
        <v>28</v>
      </c>
      <c r="D130" s="8" t="s">
        <v>68</v>
      </c>
      <c r="E130" s="8">
        <v>36547.58</v>
      </c>
      <c r="F130" s="9">
        <v>43416</v>
      </c>
      <c r="G130" s="8">
        <v>1</v>
      </c>
      <c r="H130" s="8" t="s">
        <v>23</v>
      </c>
      <c r="I130" s="8" t="s">
        <v>30</v>
      </c>
      <c r="J130" s="8" t="s">
        <v>487</v>
      </c>
    </row>
    <row r="131" spans="1:10" x14ac:dyDescent="0.3">
      <c r="A131" s="8" t="s">
        <v>488</v>
      </c>
      <c r="B131" s="8" t="s">
        <v>489</v>
      </c>
      <c r="C131" s="8" t="s">
        <v>28</v>
      </c>
      <c r="D131" s="8" t="s">
        <v>29</v>
      </c>
      <c r="E131" s="8">
        <v>95954.02</v>
      </c>
      <c r="F131" s="9">
        <v>43567</v>
      </c>
      <c r="G131" s="8">
        <v>0.3</v>
      </c>
      <c r="H131" s="8" t="s">
        <v>23</v>
      </c>
      <c r="I131" s="8" t="s">
        <v>55</v>
      </c>
      <c r="J131" s="8" t="s">
        <v>490</v>
      </c>
    </row>
    <row r="132" spans="1:10" x14ac:dyDescent="0.3">
      <c r="A132" s="8" t="s">
        <v>491</v>
      </c>
      <c r="B132" s="8" t="s">
        <v>492</v>
      </c>
      <c r="C132" s="8" t="s">
        <v>20</v>
      </c>
      <c r="D132" s="8" t="s">
        <v>39</v>
      </c>
      <c r="E132" s="8">
        <v>95677.9</v>
      </c>
      <c r="F132" s="8" t="s">
        <v>493</v>
      </c>
      <c r="G132" s="8">
        <v>0.3</v>
      </c>
      <c r="H132" s="8" t="s">
        <v>23</v>
      </c>
      <c r="I132" s="8" t="s">
        <v>55</v>
      </c>
      <c r="J132" s="8" t="s">
        <v>494</v>
      </c>
    </row>
    <row r="133" spans="1:10" x14ac:dyDescent="0.3">
      <c r="A133" s="8" t="s">
        <v>495</v>
      </c>
      <c r="B133" s="8" t="s">
        <v>496</v>
      </c>
      <c r="C133" s="8" t="s">
        <v>28</v>
      </c>
      <c r="D133" s="8" t="s">
        <v>39</v>
      </c>
      <c r="E133" s="8">
        <v>76303.820000000007</v>
      </c>
      <c r="F133" s="9">
        <v>43458</v>
      </c>
      <c r="G133" s="8">
        <v>1</v>
      </c>
      <c r="H133" s="8" t="s">
        <v>41</v>
      </c>
      <c r="I133" s="8" t="s">
        <v>55</v>
      </c>
      <c r="J133" s="8" t="s">
        <v>497</v>
      </c>
    </row>
    <row r="134" spans="1:10" x14ac:dyDescent="0.3">
      <c r="A134" s="8" t="s">
        <v>498</v>
      </c>
      <c r="B134" s="8" t="s">
        <v>499</v>
      </c>
      <c r="C134" s="8" t="s">
        <v>20</v>
      </c>
      <c r="D134" s="8" t="s">
        <v>1002</v>
      </c>
      <c r="E134" s="8"/>
      <c r="F134" s="9">
        <v>43538</v>
      </c>
      <c r="G134" s="8">
        <v>1</v>
      </c>
      <c r="H134" s="8" t="s">
        <v>23</v>
      </c>
      <c r="I134" s="8" t="s">
        <v>74</v>
      </c>
      <c r="J134" s="8" t="s">
        <v>500</v>
      </c>
    </row>
    <row r="135" spans="1:10" x14ac:dyDescent="0.3">
      <c r="A135" s="8" t="s">
        <v>501</v>
      </c>
      <c r="B135" s="8" t="s">
        <v>502</v>
      </c>
      <c r="C135" s="8" t="s">
        <v>28</v>
      </c>
      <c r="D135" s="8" t="s">
        <v>21</v>
      </c>
      <c r="E135" s="8">
        <v>99460.78</v>
      </c>
      <c r="F135" s="8" t="s">
        <v>503</v>
      </c>
      <c r="G135" s="8">
        <v>1</v>
      </c>
      <c r="H135" s="8" t="s">
        <v>23</v>
      </c>
      <c r="I135" s="8" t="s">
        <v>74</v>
      </c>
      <c r="J135" s="8" t="s">
        <v>504</v>
      </c>
    </row>
    <row r="136" spans="1:10" x14ac:dyDescent="0.3">
      <c r="A136" s="8" t="s">
        <v>505</v>
      </c>
      <c r="B136" s="8" t="s">
        <v>506</v>
      </c>
      <c r="C136" s="8" t="s">
        <v>28</v>
      </c>
      <c r="D136" s="8" t="s">
        <v>45</v>
      </c>
      <c r="E136" s="8">
        <v>88034.67</v>
      </c>
      <c r="F136" s="9">
        <v>43669</v>
      </c>
      <c r="G136" s="8">
        <v>1</v>
      </c>
      <c r="H136" s="8" t="s">
        <v>23</v>
      </c>
      <c r="I136" s="8" t="s">
        <v>107</v>
      </c>
      <c r="J136" s="8" t="s">
        <v>507</v>
      </c>
    </row>
    <row r="137" spans="1:10" x14ac:dyDescent="0.3">
      <c r="A137" s="8" t="s">
        <v>508</v>
      </c>
      <c r="B137" s="8" t="s">
        <v>509</v>
      </c>
      <c r="C137" s="8" t="s">
        <v>20</v>
      </c>
      <c r="D137" s="8" t="s">
        <v>39</v>
      </c>
      <c r="E137" s="8">
        <v>44447.26</v>
      </c>
      <c r="F137" s="9">
        <v>43846</v>
      </c>
      <c r="G137" s="8">
        <v>0.4</v>
      </c>
      <c r="H137" s="8" t="s">
        <v>23</v>
      </c>
      <c r="I137" s="8" t="s">
        <v>115</v>
      </c>
      <c r="J137" s="8" t="s">
        <v>510</v>
      </c>
    </row>
    <row r="138" spans="1:10" x14ac:dyDescent="0.3">
      <c r="A138" s="8" t="s">
        <v>511</v>
      </c>
      <c r="B138" s="8" t="s">
        <v>512</v>
      </c>
      <c r="C138" s="8" t="s">
        <v>28</v>
      </c>
      <c r="D138" s="8" t="s">
        <v>45</v>
      </c>
      <c r="E138" s="8">
        <v>40445.29</v>
      </c>
      <c r="F138" s="9">
        <v>44393</v>
      </c>
      <c r="G138" s="8">
        <v>1</v>
      </c>
      <c r="H138" s="8" t="s">
        <v>23</v>
      </c>
      <c r="I138" s="8" t="s">
        <v>35</v>
      </c>
      <c r="J138" s="8" t="s">
        <v>513</v>
      </c>
    </row>
    <row r="139" spans="1:10" x14ac:dyDescent="0.3">
      <c r="A139" s="8" t="s">
        <v>514</v>
      </c>
      <c r="B139" s="8" t="s">
        <v>515</v>
      </c>
      <c r="C139" s="8" t="s">
        <v>28</v>
      </c>
      <c r="D139" s="8" t="s">
        <v>34</v>
      </c>
      <c r="E139" s="8">
        <v>92336.08</v>
      </c>
      <c r="F139" s="9">
        <v>44431</v>
      </c>
      <c r="G139" s="8">
        <v>1</v>
      </c>
      <c r="H139" s="8" t="s">
        <v>23</v>
      </c>
      <c r="I139" s="8" t="s">
        <v>74</v>
      </c>
      <c r="J139" s="8" t="s">
        <v>516</v>
      </c>
    </row>
    <row r="140" spans="1:10" x14ac:dyDescent="0.3">
      <c r="A140" s="8" t="s">
        <v>517</v>
      </c>
      <c r="B140" s="8" t="s">
        <v>518</v>
      </c>
      <c r="C140" s="8" t="s">
        <v>28</v>
      </c>
      <c r="D140" s="8" t="s">
        <v>68</v>
      </c>
      <c r="E140" s="8">
        <v>68008.55</v>
      </c>
      <c r="F140" s="9">
        <v>44062</v>
      </c>
      <c r="G140" s="8">
        <v>1</v>
      </c>
      <c r="H140" s="8" t="s">
        <v>23</v>
      </c>
      <c r="I140" s="8" t="s">
        <v>107</v>
      </c>
      <c r="J140" s="8" t="s">
        <v>519</v>
      </c>
    </row>
    <row r="141" spans="1:10" x14ac:dyDescent="0.3">
      <c r="A141" s="8" t="s">
        <v>520</v>
      </c>
      <c r="B141" s="8" t="s">
        <v>521</v>
      </c>
      <c r="C141" s="8" t="s">
        <v>28</v>
      </c>
      <c r="D141" s="8" t="s">
        <v>21</v>
      </c>
      <c r="E141" s="8">
        <v>74924.649999999994</v>
      </c>
      <c r="F141" s="8" t="s">
        <v>522</v>
      </c>
      <c r="G141" s="8">
        <v>1</v>
      </c>
      <c r="H141" s="8" t="s">
        <v>23</v>
      </c>
      <c r="I141" s="8" t="s">
        <v>24</v>
      </c>
      <c r="J141" s="8" t="s">
        <v>523</v>
      </c>
    </row>
    <row r="142" spans="1:10" x14ac:dyDescent="0.3">
      <c r="A142" s="8" t="s">
        <v>524</v>
      </c>
      <c r="B142" s="8" t="s">
        <v>525</v>
      </c>
      <c r="C142" s="8" t="s">
        <v>20</v>
      </c>
      <c r="D142" s="8" t="s">
        <v>29</v>
      </c>
      <c r="E142" s="8"/>
      <c r="F142" s="8" t="s">
        <v>249</v>
      </c>
      <c r="G142" s="8">
        <v>0.2</v>
      </c>
      <c r="H142" s="8" t="s">
        <v>23</v>
      </c>
      <c r="I142" s="8" t="s">
        <v>24</v>
      </c>
      <c r="J142" s="8" t="s">
        <v>526</v>
      </c>
    </row>
    <row r="143" spans="1:10" x14ac:dyDescent="0.3">
      <c r="A143" s="8" t="s">
        <v>527</v>
      </c>
      <c r="B143" s="8" t="s">
        <v>528</v>
      </c>
      <c r="C143" s="8" t="s">
        <v>20</v>
      </c>
      <c r="D143" s="8" t="s">
        <v>83</v>
      </c>
      <c r="E143" s="8">
        <v>88689.09</v>
      </c>
      <c r="F143" s="8" t="s">
        <v>529</v>
      </c>
      <c r="G143" s="8">
        <v>1</v>
      </c>
      <c r="H143" s="8" t="s">
        <v>23</v>
      </c>
      <c r="I143" s="8" t="s">
        <v>47</v>
      </c>
      <c r="J143" s="8" t="s">
        <v>530</v>
      </c>
    </row>
    <row r="144" spans="1:10" x14ac:dyDescent="0.3">
      <c r="A144" s="8" t="s">
        <v>531</v>
      </c>
      <c r="B144" s="8" t="s">
        <v>532</v>
      </c>
      <c r="C144" s="8" t="s">
        <v>20</v>
      </c>
      <c r="D144" s="8" t="s">
        <v>34</v>
      </c>
      <c r="E144" s="8">
        <v>96555.53</v>
      </c>
      <c r="F144" s="9">
        <v>43489</v>
      </c>
      <c r="G144" s="8">
        <v>0.2</v>
      </c>
      <c r="H144" s="8" t="s">
        <v>85</v>
      </c>
      <c r="I144" s="8" t="s">
        <v>24</v>
      </c>
      <c r="J144" s="8" t="s">
        <v>533</v>
      </c>
    </row>
    <row r="145" spans="1:10" x14ac:dyDescent="0.3">
      <c r="A145" s="8" t="s">
        <v>534</v>
      </c>
      <c r="B145" s="8" t="s">
        <v>535</v>
      </c>
      <c r="C145" s="8" t="s">
        <v>20</v>
      </c>
      <c r="D145" s="8" t="s">
        <v>45</v>
      </c>
      <c r="E145" s="8">
        <v>71924.850000000006</v>
      </c>
      <c r="F145" s="9">
        <v>43822</v>
      </c>
      <c r="G145" s="8">
        <v>1</v>
      </c>
      <c r="H145" s="8" t="s">
        <v>23</v>
      </c>
      <c r="I145" s="8" t="s">
        <v>55</v>
      </c>
      <c r="J145" s="8" t="s">
        <v>536</v>
      </c>
    </row>
    <row r="146" spans="1:10" x14ac:dyDescent="0.3">
      <c r="A146" s="8" t="s">
        <v>537</v>
      </c>
      <c r="B146" s="8" t="s">
        <v>538</v>
      </c>
      <c r="C146" s="8" t="s">
        <v>28</v>
      </c>
      <c r="D146" s="8" t="s">
        <v>39</v>
      </c>
      <c r="E146" s="8">
        <v>31241.24</v>
      </c>
      <c r="F146" s="9">
        <v>43725</v>
      </c>
      <c r="G146" s="8">
        <v>1</v>
      </c>
      <c r="H146" s="8" t="s">
        <v>23</v>
      </c>
      <c r="I146" s="8" t="s">
        <v>74</v>
      </c>
      <c r="J146" s="8" t="s">
        <v>539</v>
      </c>
    </row>
    <row r="147" spans="1:10" x14ac:dyDescent="0.3">
      <c r="A147" s="8" t="s">
        <v>540</v>
      </c>
      <c r="B147" s="8" t="s">
        <v>541</v>
      </c>
      <c r="C147" s="8" t="s">
        <v>28</v>
      </c>
      <c r="D147" s="8" t="s">
        <v>29</v>
      </c>
      <c r="E147" s="8">
        <v>110042.37</v>
      </c>
      <c r="F147" s="9">
        <v>43914</v>
      </c>
      <c r="G147" s="8">
        <v>1</v>
      </c>
      <c r="H147" s="8" t="s">
        <v>23</v>
      </c>
      <c r="I147" s="8" t="s">
        <v>115</v>
      </c>
      <c r="J147" s="8" t="s">
        <v>542</v>
      </c>
    </row>
    <row r="148" spans="1:10" x14ac:dyDescent="0.3">
      <c r="A148" s="8" t="s">
        <v>543</v>
      </c>
      <c r="B148" s="8" t="s">
        <v>544</v>
      </c>
      <c r="C148" s="8" t="s">
        <v>20</v>
      </c>
      <c r="D148" s="8" t="s">
        <v>21</v>
      </c>
      <c r="E148" s="8">
        <v>37902.35</v>
      </c>
      <c r="F148" s="8" t="s">
        <v>93</v>
      </c>
      <c r="G148" s="8">
        <v>1</v>
      </c>
      <c r="H148" s="8" t="s">
        <v>23</v>
      </c>
      <c r="I148" s="8" t="s">
        <v>74</v>
      </c>
      <c r="J148" s="8" t="s">
        <v>545</v>
      </c>
    </row>
    <row r="149" spans="1:10" x14ac:dyDescent="0.3">
      <c r="A149" s="8" t="s">
        <v>546</v>
      </c>
      <c r="B149" s="8" t="s">
        <v>547</v>
      </c>
      <c r="C149" s="8" t="s">
        <v>20</v>
      </c>
      <c r="D149" s="8" t="s">
        <v>45</v>
      </c>
      <c r="E149" s="8">
        <v>33031.26</v>
      </c>
      <c r="F149" s="8" t="s">
        <v>548</v>
      </c>
      <c r="G149" s="8">
        <v>0.4</v>
      </c>
      <c r="H149" s="8" t="s">
        <v>23</v>
      </c>
      <c r="I149" s="8" t="s">
        <v>24</v>
      </c>
      <c r="J149" s="8" t="s">
        <v>549</v>
      </c>
    </row>
    <row r="150" spans="1:10" x14ac:dyDescent="0.3">
      <c r="A150" s="8" t="s">
        <v>550</v>
      </c>
      <c r="B150" s="8" t="s">
        <v>551</v>
      </c>
      <c r="C150" s="8" t="s">
        <v>20</v>
      </c>
      <c r="D150" s="8" t="s">
        <v>34</v>
      </c>
      <c r="E150" s="8">
        <v>32496.880000000001</v>
      </c>
      <c r="F150" s="9">
        <v>43234</v>
      </c>
      <c r="G150" s="8">
        <v>1</v>
      </c>
      <c r="H150" s="8" t="s">
        <v>85</v>
      </c>
      <c r="I150" s="8" t="s">
        <v>30</v>
      </c>
      <c r="J150" s="8" t="s">
        <v>552</v>
      </c>
    </row>
    <row r="151" spans="1:10" x14ac:dyDescent="0.3">
      <c r="A151" s="8" t="s">
        <v>553</v>
      </c>
      <c r="B151" s="8" t="s">
        <v>554</v>
      </c>
      <c r="C151" s="8" t="s">
        <v>20</v>
      </c>
      <c r="D151" s="8" t="s">
        <v>39</v>
      </c>
      <c r="E151" s="8">
        <v>81897.789999999994</v>
      </c>
      <c r="F151" s="9">
        <v>43146</v>
      </c>
      <c r="G151" s="8">
        <v>1</v>
      </c>
      <c r="H151" s="8" t="s">
        <v>23</v>
      </c>
      <c r="I151" s="8" t="s">
        <v>55</v>
      </c>
      <c r="J151" s="8" t="s">
        <v>555</v>
      </c>
    </row>
    <row r="152" spans="1:10" x14ac:dyDescent="0.3">
      <c r="A152" s="8" t="s">
        <v>556</v>
      </c>
      <c r="B152" s="8" t="s">
        <v>557</v>
      </c>
      <c r="C152" s="8" t="s">
        <v>20</v>
      </c>
      <c r="D152" s="8" t="s">
        <v>21</v>
      </c>
      <c r="E152" s="8">
        <v>108872.77</v>
      </c>
      <c r="F152" s="9">
        <v>43521</v>
      </c>
      <c r="G152" s="8">
        <v>1</v>
      </c>
      <c r="H152" s="8" t="s">
        <v>23</v>
      </c>
      <c r="I152" s="8" t="s">
        <v>24</v>
      </c>
      <c r="J152" s="8" t="s">
        <v>558</v>
      </c>
    </row>
    <row r="153" spans="1:10" x14ac:dyDescent="0.3">
      <c r="A153" s="8" t="s">
        <v>559</v>
      </c>
      <c r="B153" s="8" t="s">
        <v>560</v>
      </c>
      <c r="C153" s="8" t="s">
        <v>20</v>
      </c>
      <c r="D153" s="8" t="s">
        <v>21</v>
      </c>
      <c r="E153" s="8">
        <v>89605.13</v>
      </c>
      <c r="F153" s="8" t="s">
        <v>561</v>
      </c>
      <c r="G153" s="8">
        <v>1</v>
      </c>
      <c r="H153" s="8" t="s">
        <v>23</v>
      </c>
      <c r="I153" s="8" t="s">
        <v>24</v>
      </c>
      <c r="J153" s="8" t="s">
        <v>562</v>
      </c>
    </row>
    <row r="154" spans="1:10" x14ac:dyDescent="0.3">
      <c r="A154" s="8" t="s">
        <v>563</v>
      </c>
      <c r="B154" s="8" t="s">
        <v>564</v>
      </c>
      <c r="C154" s="8" t="s">
        <v>28</v>
      </c>
      <c r="D154" s="8" t="s">
        <v>21</v>
      </c>
      <c r="E154" s="8">
        <v>63447.07</v>
      </c>
      <c r="F154" s="8" t="s">
        <v>565</v>
      </c>
      <c r="G154" s="8">
        <v>1</v>
      </c>
      <c r="H154" s="8" t="s">
        <v>85</v>
      </c>
      <c r="I154" s="8" t="s">
        <v>74</v>
      </c>
      <c r="J154" s="8" t="s">
        <v>566</v>
      </c>
    </row>
    <row r="155" spans="1:10" x14ac:dyDescent="0.3">
      <c r="A155" s="8" t="s">
        <v>567</v>
      </c>
      <c r="B155" s="8" t="s">
        <v>568</v>
      </c>
      <c r="C155" s="8" t="s">
        <v>28</v>
      </c>
      <c r="D155" s="8" t="s">
        <v>45</v>
      </c>
      <c r="E155" s="8">
        <v>106665.67</v>
      </c>
      <c r="F155" s="9">
        <v>43311</v>
      </c>
      <c r="G155" s="8">
        <v>1</v>
      </c>
      <c r="H155" s="8" t="s">
        <v>85</v>
      </c>
      <c r="I155" s="8" t="s">
        <v>115</v>
      </c>
      <c r="J155" s="8" t="s">
        <v>569</v>
      </c>
    </row>
    <row r="156" spans="1:10" x14ac:dyDescent="0.3">
      <c r="A156" s="8" t="s">
        <v>570</v>
      </c>
      <c r="B156" s="8" t="s">
        <v>571</v>
      </c>
      <c r="C156" s="8" t="s">
        <v>28</v>
      </c>
      <c r="D156" s="8" t="s">
        <v>34</v>
      </c>
      <c r="E156" s="8">
        <v>100424.23</v>
      </c>
      <c r="F156" s="9">
        <v>43801</v>
      </c>
      <c r="G156" s="8">
        <v>1</v>
      </c>
      <c r="H156" s="8" t="s">
        <v>23</v>
      </c>
      <c r="I156" s="8" t="s">
        <v>35</v>
      </c>
      <c r="J156" s="8" t="s">
        <v>572</v>
      </c>
    </row>
    <row r="157" spans="1:10" x14ac:dyDescent="0.3">
      <c r="A157" s="8" t="s">
        <v>573</v>
      </c>
      <c r="B157" s="8" t="s">
        <v>574</v>
      </c>
      <c r="C157" s="8" t="s">
        <v>20</v>
      </c>
      <c r="D157" s="8" t="s">
        <v>68</v>
      </c>
      <c r="E157" s="8">
        <v>47646.95</v>
      </c>
      <c r="F157" s="9">
        <v>43791</v>
      </c>
      <c r="G157" s="8">
        <v>0.3</v>
      </c>
      <c r="H157" s="8" t="s">
        <v>41</v>
      </c>
      <c r="I157" s="8" t="s">
        <v>55</v>
      </c>
      <c r="J157" s="8" t="s">
        <v>575</v>
      </c>
    </row>
    <row r="158" spans="1:10" x14ac:dyDescent="0.3">
      <c r="A158" s="8" t="s">
        <v>576</v>
      </c>
      <c r="B158" s="8" t="s">
        <v>577</v>
      </c>
      <c r="C158" s="8" t="s">
        <v>28</v>
      </c>
      <c r="D158" s="8" t="s">
        <v>29</v>
      </c>
      <c r="E158" s="8">
        <v>28481.16</v>
      </c>
      <c r="F158" s="9">
        <v>43916</v>
      </c>
      <c r="G158" s="8">
        <v>1</v>
      </c>
      <c r="H158" s="8" t="s">
        <v>23</v>
      </c>
      <c r="I158" s="8" t="s">
        <v>30</v>
      </c>
      <c r="J158" s="8" t="s">
        <v>578</v>
      </c>
    </row>
    <row r="159" spans="1:10" x14ac:dyDescent="0.3">
      <c r="A159" s="8" t="s">
        <v>579</v>
      </c>
      <c r="B159" s="8" t="s">
        <v>580</v>
      </c>
      <c r="C159" s="8" t="s">
        <v>20</v>
      </c>
      <c r="D159" s="8" t="s">
        <v>83</v>
      </c>
      <c r="E159" s="8"/>
      <c r="F159" s="9">
        <v>43504</v>
      </c>
      <c r="G159" s="8">
        <v>1</v>
      </c>
      <c r="H159" s="8" t="s">
        <v>23</v>
      </c>
      <c r="I159" s="8" t="s">
        <v>115</v>
      </c>
      <c r="J159" s="8" t="s">
        <v>581</v>
      </c>
    </row>
    <row r="160" spans="1:10" x14ac:dyDescent="0.3">
      <c r="A160" s="8" t="s">
        <v>582</v>
      </c>
      <c r="B160" s="8" t="s">
        <v>583</v>
      </c>
      <c r="C160" s="8" t="s">
        <v>20</v>
      </c>
      <c r="D160" s="8" t="s">
        <v>21</v>
      </c>
      <c r="E160" s="8">
        <v>39535.49</v>
      </c>
      <c r="F160" s="9">
        <v>43397</v>
      </c>
      <c r="G160" s="8">
        <v>0.3</v>
      </c>
      <c r="H160" s="8" t="s">
        <v>23</v>
      </c>
      <c r="I160" s="8" t="s">
        <v>74</v>
      </c>
      <c r="J160" s="8" t="s">
        <v>584</v>
      </c>
    </row>
    <row r="161" spans="1:10" x14ac:dyDescent="0.3">
      <c r="A161" s="8" t="s">
        <v>585</v>
      </c>
      <c r="B161" s="8" t="s">
        <v>586</v>
      </c>
      <c r="C161" s="8" t="s">
        <v>28</v>
      </c>
      <c r="D161" s="8" t="s">
        <v>21</v>
      </c>
      <c r="E161" s="8">
        <v>95017.1</v>
      </c>
      <c r="F161" s="9">
        <v>43283</v>
      </c>
      <c r="G161" s="8">
        <v>1</v>
      </c>
      <c r="H161" s="8" t="s">
        <v>41</v>
      </c>
      <c r="I161" s="8" t="s">
        <v>30</v>
      </c>
      <c r="J161" s="8" t="s">
        <v>587</v>
      </c>
    </row>
    <row r="162" spans="1:10" x14ac:dyDescent="0.3">
      <c r="A162" s="8" t="s">
        <v>588</v>
      </c>
      <c r="B162" s="8" t="s">
        <v>589</v>
      </c>
      <c r="C162" s="8" t="s">
        <v>28</v>
      </c>
      <c r="D162" s="8" t="s">
        <v>68</v>
      </c>
      <c r="E162" s="8">
        <v>69764.100000000006</v>
      </c>
      <c r="F162" s="9">
        <v>44195</v>
      </c>
      <c r="G162" s="8">
        <v>1</v>
      </c>
      <c r="H162" s="8" t="s">
        <v>41</v>
      </c>
      <c r="I162" s="8" t="s">
        <v>24</v>
      </c>
      <c r="J162" s="8" t="s">
        <v>590</v>
      </c>
    </row>
    <row r="163" spans="1:10" x14ac:dyDescent="0.3">
      <c r="A163" s="8" t="s">
        <v>591</v>
      </c>
      <c r="B163" s="8" t="s">
        <v>592</v>
      </c>
      <c r="C163" s="8" t="s">
        <v>20</v>
      </c>
      <c r="D163" s="8" t="s">
        <v>21</v>
      </c>
      <c r="E163" s="8">
        <v>84598.88</v>
      </c>
      <c r="F163" s="8" t="s">
        <v>593</v>
      </c>
      <c r="G163" s="8">
        <v>1</v>
      </c>
      <c r="H163" s="8" t="s">
        <v>41</v>
      </c>
      <c r="I163" s="8" t="s">
        <v>35</v>
      </c>
      <c r="J163" s="8" t="s">
        <v>594</v>
      </c>
    </row>
    <row r="164" spans="1:10" x14ac:dyDescent="0.3">
      <c r="A164" s="8" t="s">
        <v>595</v>
      </c>
      <c r="B164" s="8" t="s">
        <v>596</v>
      </c>
      <c r="C164" s="8" t="s">
        <v>28</v>
      </c>
      <c r="D164" s="8" t="s">
        <v>45</v>
      </c>
      <c r="E164" s="8">
        <v>36536.26</v>
      </c>
      <c r="F164" s="8" t="s">
        <v>597</v>
      </c>
      <c r="G164" s="8">
        <v>1</v>
      </c>
      <c r="H164" s="8" t="s">
        <v>85</v>
      </c>
      <c r="I164" s="8" t="s">
        <v>115</v>
      </c>
      <c r="J164" s="8" t="s">
        <v>598</v>
      </c>
    </row>
    <row r="165" spans="1:10" x14ac:dyDescent="0.3">
      <c r="A165" s="8" t="s">
        <v>599</v>
      </c>
      <c r="B165" s="8" t="s">
        <v>600</v>
      </c>
      <c r="C165" s="8" t="s">
        <v>20</v>
      </c>
      <c r="D165" s="8" t="s">
        <v>45</v>
      </c>
      <c r="E165" s="8">
        <v>61688.77</v>
      </c>
      <c r="F165" s="8" t="s">
        <v>601</v>
      </c>
      <c r="G165" s="8">
        <v>0.9</v>
      </c>
      <c r="H165" s="8" t="s">
        <v>23</v>
      </c>
      <c r="I165" s="8" t="s">
        <v>74</v>
      </c>
      <c r="J165" s="8" t="s">
        <v>602</v>
      </c>
    </row>
    <row r="166" spans="1:10" x14ac:dyDescent="0.3">
      <c r="A166" s="8" t="s">
        <v>603</v>
      </c>
      <c r="B166" s="8" t="s">
        <v>604</v>
      </c>
      <c r="C166" s="8" t="s">
        <v>20</v>
      </c>
      <c r="D166" s="8" t="s">
        <v>45</v>
      </c>
      <c r="E166" s="8"/>
      <c r="F166" s="8" t="s">
        <v>605</v>
      </c>
      <c r="G166" s="8">
        <v>1</v>
      </c>
      <c r="H166" s="8" t="s">
        <v>23</v>
      </c>
      <c r="I166" s="8" t="s">
        <v>115</v>
      </c>
      <c r="J166" s="8" t="s">
        <v>606</v>
      </c>
    </row>
    <row r="167" spans="1:10" x14ac:dyDescent="0.3">
      <c r="A167" s="8" t="s">
        <v>607</v>
      </c>
      <c r="B167" s="8" t="s">
        <v>608</v>
      </c>
      <c r="C167" s="8" t="s">
        <v>20</v>
      </c>
      <c r="D167" s="8" t="s">
        <v>21</v>
      </c>
      <c r="E167" s="8">
        <v>88425.08</v>
      </c>
      <c r="F167" s="8" t="s">
        <v>609</v>
      </c>
      <c r="G167" s="8">
        <v>1</v>
      </c>
      <c r="H167" s="8" t="s">
        <v>23</v>
      </c>
      <c r="I167" s="8" t="s">
        <v>107</v>
      </c>
      <c r="J167" s="8" t="s">
        <v>610</v>
      </c>
    </row>
    <row r="168" spans="1:10" x14ac:dyDescent="0.3">
      <c r="A168" s="8" t="s">
        <v>611</v>
      </c>
      <c r="B168" s="8" t="s">
        <v>612</v>
      </c>
      <c r="C168" s="8" t="s">
        <v>20</v>
      </c>
      <c r="D168" s="8" t="s">
        <v>39</v>
      </c>
      <c r="E168" s="8">
        <v>38438.239999999998</v>
      </c>
      <c r="F168" s="8" t="s">
        <v>241</v>
      </c>
      <c r="G168" s="8">
        <v>1</v>
      </c>
      <c r="H168" s="8" t="s">
        <v>23</v>
      </c>
      <c r="I168" s="8" t="s">
        <v>55</v>
      </c>
      <c r="J168" s="8" t="s">
        <v>613</v>
      </c>
    </row>
    <row r="169" spans="1:10" x14ac:dyDescent="0.3">
      <c r="A169" s="8" t="s">
        <v>614</v>
      </c>
      <c r="B169" s="8" t="s">
        <v>615</v>
      </c>
      <c r="C169" s="8" t="s">
        <v>20</v>
      </c>
      <c r="D169" s="8" t="s">
        <v>68</v>
      </c>
      <c r="E169" s="8">
        <v>96753.78</v>
      </c>
      <c r="F169" s="9">
        <v>44494</v>
      </c>
      <c r="G169" s="8">
        <v>1</v>
      </c>
      <c r="H169" s="8" t="s">
        <v>23</v>
      </c>
      <c r="I169" s="8" t="s">
        <v>74</v>
      </c>
      <c r="J169" s="8" t="s">
        <v>616</v>
      </c>
    </row>
    <row r="170" spans="1:10" x14ac:dyDescent="0.3">
      <c r="A170" s="8" t="s">
        <v>617</v>
      </c>
      <c r="B170" s="8" t="s">
        <v>618</v>
      </c>
      <c r="C170" s="8" t="s">
        <v>20</v>
      </c>
      <c r="D170" s="8" t="s">
        <v>83</v>
      </c>
      <c r="E170" s="8">
        <v>112778.28</v>
      </c>
      <c r="F170" s="9">
        <v>43250</v>
      </c>
      <c r="G170" s="8">
        <v>1</v>
      </c>
      <c r="H170" s="8" t="s">
        <v>41</v>
      </c>
      <c r="I170" s="8" t="s">
        <v>24</v>
      </c>
      <c r="J170" s="8" t="s">
        <v>619</v>
      </c>
    </row>
    <row r="171" spans="1:10" x14ac:dyDescent="0.3">
      <c r="A171" s="8" t="s">
        <v>620</v>
      </c>
      <c r="B171" s="8" t="s">
        <v>621</v>
      </c>
      <c r="C171" s="8" t="s">
        <v>20</v>
      </c>
      <c r="D171" s="8" t="s">
        <v>21</v>
      </c>
      <c r="E171" s="8">
        <v>28974.03</v>
      </c>
      <c r="F171" s="8" t="s">
        <v>622</v>
      </c>
      <c r="G171" s="8">
        <v>1</v>
      </c>
      <c r="H171" s="8" t="s">
        <v>23</v>
      </c>
      <c r="I171" s="8" t="s">
        <v>74</v>
      </c>
      <c r="J171" s="8" t="s">
        <v>623</v>
      </c>
    </row>
    <row r="172" spans="1:10" x14ac:dyDescent="0.3">
      <c r="A172" s="8" t="s">
        <v>624</v>
      </c>
      <c r="B172" s="8" t="s">
        <v>625</v>
      </c>
      <c r="C172" s="8" t="s">
        <v>20</v>
      </c>
      <c r="D172" s="8" t="s">
        <v>78</v>
      </c>
      <c r="E172" s="8">
        <v>86233.83</v>
      </c>
      <c r="F172" s="8" t="s">
        <v>626</v>
      </c>
      <c r="G172" s="8">
        <v>1</v>
      </c>
      <c r="H172" s="8" t="s">
        <v>41</v>
      </c>
      <c r="I172" s="8" t="s">
        <v>74</v>
      </c>
      <c r="J172" s="8" t="s">
        <v>627</v>
      </c>
    </row>
    <row r="173" spans="1:10" x14ac:dyDescent="0.3">
      <c r="A173" s="8" t="s">
        <v>628</v>
      </c>
      <c r="B173" s="8" t="s">
        <v>629</v>
      </c>
      <c r="C173" s="8" t="s">
        <v>20</v>
      </c>
      <c r="D173" s="8" t="s">
        <v>45</v>
      </c>
      <c r="E173" s="8">
        <v>66865.490000000005</v>
      </c>
      <c r="F173" s="8" t="s">
        <v>281</v>
      </c>
      <c r="G173" s="8">
        <v>1</v>
      </c>
      <c r="H173" s="8" t="s">
        <v>23</v>
      </c>
      <c r="I173" s="8" t="s">
        <v>55</v>
      </c>
      <c r="J173" s="8" t="s">
        <v>630</v>
      </c>
    </row>
    <row r="174" spans="1:10" x14ac:dyDescent="0.3">
      <c r="A174" s="8" t="s">
        <v>631</v>
      </c>
      <c r="B174" s="8" t="s">
        <v>632</v>
      </c>
      <c r="C174" s="8" t="s">
        <v>28</v>
      </c>
      <c r="D174" s="8" t="s">
        <v>29</v>
      </c>
      <c r="E174" s="8">
        <v>119022.49</v>
      </c>
      <c r="F174" s="9">
        <v>44431</v>
      </c>
      <c r="G174" s="8">
        <v>1</v>
      </c>
      <c r="H174" s="8" t="s">
        <v>23</v>
      </c>
      <c r="I174" s="8" t="s">
        <v>24</v>
      </c>
      <c r="J174" s="8" t="s">
        <v>633</v>
      </c>
    </row>
    <row r="175" spans="1:10" x14ac:dyDescent="0.3">
      <c r="A175" s="8" t="s">
        <v>634</v>
      </c>
      <c r="B175" s="8" t="s">
        <v>635</v>
      </c>
      <c r="C175" s="8" t="s">
        <v>28</v>
      </c>
      <c r="D175" s="8" t="s">
        <v>45</v>
      </c>
      <c r="E175" s="8">
        <v>114177.23</v>
      </c>
      <c r="F175" s="8" t="s">
        <v>636</v>
      </c>
      <c r="G175" s="8">
        <v>1</v>
      </c>
      <c r="H175" s="8" t="s">
        <v>23</v>
      </c>
      <c r="I175" s="8" t="s">
        <v>35</v>
      </c>
      <c r="J175" s="8" t="s">
        <v>637</v>
      </c>
    </row>
    <row r="176" spans="1:10" x14ac:dyDescent="0.3">
      <c r="A176" s="8" t="s">
        <v>638</v>
      </c>
      <c r="B176" s="8" t="s">
        <v>639</v>
      </c>
      <c r="C176" s="8" t="s">
        <v>20</v>
      </c>
      <c r="D176" s="8" t="s">
        <v>68</v>
      </c>
      <c r="E176" s="8">
        <v>100731.95</v>
      </c>
      <c r="F176" s="8" t="s">
        <v>640</v>
      </c>
      <c r="G176" s="8">
        <v>1</v>
      </c>
      <c r="H176" s="8" t="s">
        <v>23</v>
      </c>
      <c r="I176" s="8" t="s">
        <v>107</v>
      </c>
      <c r="J176" s="8" t="s">
        <v>641</v>
      </c>
    </row>
    <row r="177" spans="1:10" x14ac:dyDescent="0.3">
      <c r="A177" s="8" t="s">
        <v>642</v>
      </c>
      <c r="B177" s="8" t="s">
        <v>643</v>
      </c>
      <c r="C177" s="8" t="s">
        <v>28</v>
      </c>
      <c r="D177" s="8" t="s">
        <v>45</v>
      </c>
      <c r="E177" s="8">
        <v>86010.54</v>
      </c>
      <c r="F177" s="9">
        <v>43164</v>
      </c>
      <c r="G177" s="8">
        <v>1</v>
      </c>
      <c r="H177" s="8" t="s">
        <v>23</v>
      </c>
      <c r="I177" s="8" t="s">
        <v>107</v>
      </c>
      <c r="J177" s="8" t="s">
        <v>644</v>
      </c>
    </row>
    <row r="178" spans="1:10" x14ac:dyDescent="0.3">
      <c r="A178" s="8" t="s">
        <v>645</v>
      </c>
      <c r="B178" s="8" t="s">
        <v>646</v>
      </c>
      <c r="C178" s="8" t="s">
        <v>20</v>
      </c>
      <c r="D178" s="8" t="s">
        <v>68</v>
      </c>
      <c r="E178" s="8">
        <v>52270.22</v>
      </c>
      <c r="F178" s="9">
        <v>43521</v>
      </c>
      <c r="G178" s="8">
        <v>0.3</v>
      </c>
      <c r="H178" s="8" t="s">
        <v>23</v>
      </c>
      <c r="I178" s="8" t="s">
        <v>47</v>
      </c>
      <c r="J178" s="8" t="s">
        <v>647</v>
      </c>
    </row>
    <row r="179" spans="1:10" x14ac:dyDescent="0.3">
      <c r="A179" s="8" t="s">
        <v>648</v>
      </c>
      <c r="B179" s="8" t="s">
        <v>649</v>
      </c>
      <c r="C179" s="8" t="s">
        <v>20</v>
      </c>
      <c r="D179" s="8" t="s">
        <v>78</v>
      </c>
      <c r="E179" s="8">
        <v>61624.77</v>
      </c>
      <c r="F179" s="9">
        <v>43430</v>
      </c>
      <c r="G179" s="8">
        <v>0.3</v>
      </c>
      <c r="H179" s="8" t="s">
        <v>41</v>
      </c>
      <c r="I179" s="8" t="s">
        <v>74</v>
      </c>
      <c r="J179" s="8" t="s">
        <v>650</v>
      </c>
    </row>
    <row r="180" spans="1:10" x14ac:dyDescent="0.3">
      <c r="A180" s="8" t="s">
        <v>651</v>
      </c>
      <c r="B180" s="8" t="s">
        <v>652</v>
      </c>
      <c r="C180" s="8" t="s">
        <v>28</v>
      </c>
      <c r="D180" s="8" t="s">
        <v>45</v>
      </c>
      <c r="E180" s="8">
        <v>104903.79</v>
      </c>
      <c r="F180" s="8" t="s">
        <v>653</v>
      </c>
      <c r="G180" s="8">
        <v>1</v>
      </c>
      <c r="H180" s="8" t="s">
        <v>23</v>
      </c>
      <c r="I180" s="8" t="s">
        <v>115</v>
      </c>
      <c r="J180" s="8" t="s">
        <v>654</v>
      </c>
    </row>
    <row r="181" spans="1:10" x14ac:dyDescent="0.3">
      <c r="A181" s="8" t="s">
        <v>655</v>
      </c>
      <c r="B181" s="8" t="s">
        <v>656</v>
      </c>
      <c r="C181" s="8" t="s">
        <v>28</v>
      </c>
      <c r="D181" s="8" t="s">
        <v>68</v>
      </c>
      <c r="E181" s="8">
        <v>69057.320000000007</v>
      </c>
      <c r="F181" s="9">
        <v>43390</v>
      </c>
      <c r="G181" s="8">
        <v>1</v>
      </c>
      <c r="H181" s="8" t="s">
        <v>23</v>
      </c>
      <c r="I181" s="8" t="s">
        <v>74</v>
      </c>
      <c r="J181" s="8" t="s">
        <v>657</v>
      </c>
    </row>
    <row r="182" spans="1:10" x14ac:dyDescent="0.3">
      <c r="A182" s="8" t="s">
        <v>658</v>
      </c>
      <c r="B182" s="8" t="s">
        <v>659</v>
      </c>
      <c r="C182" s="8" t="s">
        <v>28</v>
      </c>
      <c r="D182" s="8" t="s">
        <v>21</v>
      </c>
      <c r="E182" s="8">
        <v>59258.19</v>
      </c>
      <c r="F182" s="9">
        <v>43452</v>
      </c>
      <c r="G182" s="8">
        <v>0.8</v>
      </c>
      <c r="H182" s="8" t="s">
        <v>23</v>
      </c>
      <c r="I182" s="8" t="s">
        <v>55</v>
      </c>
      <c r="J182" s="8" t="s">
        <v>660</v>
      </c>
    </row>
    <row r="183" spans="1:10" x14ac:dyDescent="0.3">
      <c r="A183" s="8" t="s">
        <v>661</v>
      </c>
      <c r="B183" s="8" t="s">
        <v>662</v>
      </c>
      <c r="C183" s="8" t="s">
        <v>20</v>
      </c>
      <c r="D183" s="8" t="s">
        <v>78</v>
      </c>
      <c r="E183" s="8">
        <v>28160.79</v>
      </c>
      <c r="F183" s="8" t="s">
        <v>663</v>
      </c>
      <c r="G183" s="8">
        <v>1</v>
      </c>
      <c r="H183" s="8" t="s">
        <v>85</v>
      </c>
      <c r="I183" s="8" t="s">
        <v>107</v>
      </c>
      <c r="J183" s="8" t="s">
        <v>664</v>
      </c>
    </row>
    <row r="184" spans="1:10" x14ac:dyDescent="0.3">
      <c r="A184" s="8" t="s">
        <v>665</v>
      </c>
      <c r="B184" s="8" t="s">
        <v>666</v>
      </c>
      <c r="C184" s="8" t="s">
        <v>28</v>
      </c>
      <c r="D184" s="8" t="s">
        <v>34</v>
      </c>
      <c r="E184" s="8">
        <v>109143.17</v>
      </c>
      <c r="F184" s="8" t="s">
        <v>667</v>
      </c>
      <c r="G184" s="8">
        <v>1</v>
      </c>
      <c r="H184" s="8" t="s">
        <v>23</v>
      </c>
      <c r="I184" s="8" t="s">
        <v>24</v>
      </c>
      <c r="J184" s="8" t="s">
        <v>668</v>
      </c>
    </row>
    <row r="185" spans="1:10" x14ac:dyDescent="0.3">
      <c r="A185" s="8" t="s">
        <v>669</v>
      </c>
      <c r="B185" s="8" t="s">
        <v>670</v>
      </c>
      <c r="C185" s="8" t="s">
        <v>28</v>
      </c>
      <c r="D185" s="8" t="s">
        <v>78</v>
      </c>
      <c r="E185" s="8">
        <v>70755.5</v>
      </c>
      <c r="F185" s="8" t="s">
        <v>671</v>
      </c>
      <c r="G185" s="8">
        <v>0.8</v>
      </c>
      <c r="H185" s="8" t="s">
        <v>85</v>
      </c>
      <c r="I185" s="8" t="s">
        <v>115</v>
      </c>
      <c r="J185" s="8" t="s">
        <v>672</v>
      </c>
    </row>
    <row r="186" spans="1:10" x14ac:dyDescent="0.3">
      <c r="A186" s="8" t="s">
        <v>673</v>
      </c>
      <c r="B186" s="8" t="s">
        <v>674</v>
      </c>
      <c r="C186" s="8" t="s">
        <v>28</v>
      </c>
      <c r="D186" s="8" t="s">
        <v>34</v>
      </c>
      <c r="E186" s="8">
        <v>73360.38</v>
      </c>
      <c r="F186" s="9">
        <v>43972</v>
      </c>
      <c r="G186" s="8">
        <v>1</v>
      </c>
      <c r="H186" s="8" t="s">
        <v>85</v>
      </c>
      <c r="I186" s="8" t="s">
        <v>55</v>
      </c>
      <c r="J186" s="8" t="s">
        <v>675</v>
      </c>
    </row>
    <row r="187" spans="1:10" x14ac:dyDescent="0.3">
      <c r="A187" s="8" t="s">
        <v>676</v>
      </c>
      <c r="B187" s="8" t="s">
        <v>677</v>
      </c>
      <c r="C187" s="8" t="s">
        <v>20</v>
      </c>
      <c r="D187" s="8" t="s">
        <v>21</v>
      </c>
      <c r="E187" s="8">
        <v>76303.820000000007</v>
      </c>
      <c r="F187" s="9">
        <v>43458</v>
      </c>
      <c r="G187" s="8">
        <v>1</v>
      </c>
      <c r="H187" s="8" t="s">
        <v>41</v>
      </c>
      <c r="I187" s="8" t="s">
        <v>115</v>
      </c>
      <c r="J187" s="8" t="s">
        <v>678</v>
      </c>
    </row>
    <row r="188" spans="1:10" x14ac:dyDescent="0.3">
      <c r="A188" s="8" t="s">
        <v>679</v>
      </c>
      <c r="B188" s="8" t="s">
        <v>680</v>
      </c>
      <c r="C188" s="8" t="s">
        <v>28</v>
      </c>
      <c r="D188" s="8" t="s">
        <v>29</v>
      </c>
      <c r="E188" s="8">
        <v>58861.19</v>
      </c>
      <c r="F188" s="8" t="s">
        <v>681</v>
      </c>
      <c r="G188" s="8">
        <v>1</v>
      </c>
      <c r="H188" s="8" t="s">
        <v>23</v>
      </c>
      <c r="I188" s="8" t="s">
        <v>107</v>
      </c>
      <c r="J188" s="8" t="s">
        <v>682</v>
      </c>
    </row>
    <row r="189" spans="1:10" x14ac:dyDescent="0.3">
      <c r="A189" s="8" t="s">
        <v>683</v>
      </c>
      <c r="B189" s="8" t="s">
        <v>684</v>
      </c>
      <c r="C189" s="8" t="s">
        <v>28</v>
      </c>
      <c r="D189" s="8" t="s">
        <v>39</v>
      </c>
      <c r="E189" s="8">
        <v>58744.17</v>
      </c>
      <c r="F189" s="8" t="s">
        <v>84</v>
      </c>
      <c r="G189" s="8">
        <v>1</v>
      </c>
      <c r="H189" s="8" t="s">
        <v>85</v>
      </c>
      <c r="I189" s="8" t="s">
        <v>74</v>
      </c>
      <c r="J189" s="8" t="s">
        <v>685</v>
      </c>
    </row>
    <row r="190" spans="1:10" x14ac:dyDescent="0.3">
      <c r="A190" s="8" t="s">
        <v>686</v>
      </c>
      <c r="B190" s="8" t="s">
        <v>687</v>
      </c>
      <c r="C190" s="8" t="s">
        <v>28</v>
      </c>
      <c r="D190" s="8" t="s">
        <v>39</v>
      </c>
      <c r="E190" s="8">
        <v>73488.679999999993</v>
      </c>
      <c r="F190" s="8" t="s">
        <v>688</v>
      </c>
      <c r="G190" s="8">
        <v>1</v>
      </c>
      <c r="H190" s="8" t="s">
        <v>41</v>
      </c>
      <c r="I190" s="8" t="s">
        <v>24</v>
      </c>
      <c r="J190" s="8" t="s">
        <v>689</v>
      </c>
    </row>
    <row r="191" spans="1:10" x14ac:dyDescent="0.3">
      <c r="A191" s="8" t="s">
        <v>690</v>
      </c>
      <c r="B191" s="8" t="s">
        <v>691</v>
      </c>
      <c r="C191" s="8" t="s">
        <v>20</v>
      </c>
      <c r="D191" s="8" t="s">
        <v>78</v>
      </c>
      <c r="E191" s="8">
        <v>92704.48</v>
      </c>
      <c r="F191" s="8" t="s">
        <v>692</v>
      </c>
      <c r="G191" s="8">
        <v>1</v>
      </c>
      <c r="H191" s="8" t="s">
        <v>41</v>
      </c>
      <c r="I191" s="8" t="s">
        <v>107</v>
      </c>
      <c r="J191" s="8" t="s">
        <v>693</v>
      </c>
    </row>
    <row r="192" spans="1:10" x14ac:dyDescent="0.3">
      <c r="A192" s="8" t="s">
        <v>694</v>
      </c>
      <c r="B192" s="8" t="s">
        <v>695</v>
      </c>
      <c r="C192" s="8" t="s">
        <v>28</v>
      </c>
      <c r="D192" s="8" t="s">
        <v>21</v>
      </c>
      <c r="E192" s="8">
        <v>78443.78</v>
      </c>
      <c r="F192" s="8" t="s">
        <v>696</v>
      </c>
      <c r="G192" s="8">
        <v>1</v>
      </c>
      <c r="H192" s="8" t="s">
        <v>41</v>
      </c>
      <c r="I192" s="8" t="s">
        <v>24</v>
      </c>
      <c r="J192" s="8" t="s">
        <v>697</v>
      </c>
    </row>
    <row r="193" spans="1:10" x14ac:dyDescent="0.3">
      <c r="A193" s="8" t="s">
        <v>698</v>
      </c>
      <c r="B193" s="8" t="s">
        <v>699</v>
      </c>
      <c r="C193" s="8" t="s">
        <v>20</v>
      </c>
      <c r="D193" s="8" t="s">
        <v>68</v>
      </c>
      <c r="E193" s="8">
        <v>97105.19</v>
      </c>
      <c r="F193" s="9">
        <v>44425</v>
      </c>
      <c r="G193" s="8">
        <v>1</v>
      </c>
      <c r="H193" s="8" t="s">
        <v>23</v>
      </c>
      <c r="I193" s="8" t="s">
        <v>24</v>
      </c>
      <c r="J193" s="8" t="s">
        <v>700</v>
      </c>
    </row>
    <row r="194" spans="1:10" x14ac:dyDescent="0.3">
      <c r="A194" s="8" t="s">
        <v>701</v>
      </c>
      <c r="B194" s="8" t="s">
        <v>702</v>
      </c>
      <c r="C194" s="8" t="s">
        <v>28</v>
      </c>
      <c r="D194" s="8" t="s">
        <v>29</v>
      </c>
      <c r="E194" s="8">
        <v>109163.39</v>
      </c>
      <c r="F194" s="9">
        <v>44019</v>
      </c>
      <c r="G194" s="8">
        <v>0.8</v>
      </c>
      <c r="H194" s="8" t="s">
        <v>23</v>
      </c>
      <c r="I194" s="8" t="s">
        <v>35</v>
      </c>
      <c r="J194" s="8" t="s">
        <v>703</v>
      </c>
    </row>
    <row r="195" spans="1:10" x14ac:dyDescent="0.3">
      <c r="A195" s="8" t="s">
        <v>704</v>
      </c>
      <c r="B195" s="8" t="s">
        <v>705</v>
      </c>
      <c r="C195" s="8" t="s">
        <v>28</v>
      </c>
      <c r="D195" s="8" t="s">
        <v>68</v>
      </c>
      <c r="E195" s="8">
        <v>31816.57</v>
      </c>
      <c r="F195" s="8" t="s">
        <v>706</v>
      </c>
      <c r="G195" s="8">
        <v>0.3</v>
      </c>
      <c r="H195" s="8" t="s">
        <v>41</v>
      </c>
      <c r="I195" s="8" t="s">
        <v>30</v>
      </c>
      <c r="J195" s="8" t="s">
        <v>707</v>
      </c>
    </row>
    <row r="196" spans="1:10" x14ac:dyDescent="0.3">
      <c r="A196" s="8" t="s">
        <v>708</v>
      </c>
      <c r="B196" s="8" t="s">
        <v>709</v>
      </c>
      <c r="C196" s="8" t="s">
        <v>20</v>
      </c>
      <c r="D196" s="8" t="s">
        <v>34</v>
      </c>
      <c r="E196" s="8">
        <v>118442.54</v>
      </c>
      <c r="F196" s="9">
        <v>44193</v>
      </c>
      <c r="G196" s="8">
        <v>1</v>
      </c>
      <c r="H196" s="8" t="s">
        <v>23</v>
      </c>
      <c r="I196" s="8" t="s">
        <v>115</v>
      </c>
      <c r="J196" s="8" t="s">
        <v>710</v>
      </c>
    </row>
    <row r="197" spans="1:10" x14ac:dyDescent="0.3">
      <c r="A197" s="8" t="s">
        <v>711</v>
      </c>
      <c r="B197" s="8" t="s">
        <v>712</v>
      </c>
      <c r="C197" s="8" t="s">
        <v>28</v>
      </c>
      <c r="D197" s="8" t="s">
        <v>39</v>
      </c>
      <c r="E197" s="8">
        <v>84745.93</v>
      </c>
      <c r="F197" s="8" t="s">
        <v>713</v>
      </c>
      <c r="G197" s="8">
        <v>1</v>
      </c>
      <c r="H197" s="8" t="s">
        <v>23</v>
      </c>
      <c r="I197" s="8" t="s">
        <v>35</v>
      </c>
      <c r="J197" s="8" t="s">
        <v>714</v>
      </c>
    </row>
    <row r="198" spans="1:10" x14ac:dyDescent="0.3">
      <c r="A198" s="8" t="s">
        <v>715</v>
      </c>
      <c r="B198" s="8" t="s">
        <v>716</v>
      </c>
      <c r="C198" s="8" t="s">
        <v>20</v>
      </c>
      <c r="D198" s="8" t="s">
        <v>21</v>
      </c>
      <c r="E198" s="8">
        <v>69163.39</v>
      </c>
      <c r="F198" s="9">
        <v>43397</v>
      </c>
      <c r="G198" s="8">
        <v>1</v>
      </c>
      <c r="H198" s="8" t="s">
        <v>23</v>
      </c>
      <c r="I198" s="8" t="s">
        <v>35</v>
      </c>
      <c r="J198" s="8" t="s">
        <v>717</v>
      </c>
    </row>
    <row r="199" spans="1:10" x14ac:dyDescent="0.3">
      <c r="A199" s="8" t="s">
        <v>718</v>
      </c>
      <c r="B199" s="8" t="s">
        <v>719</v>
      </c>
      <c r="C199" s="8" t="s">
        <v>20</v>
      </c>
      <c r="D199" s="8" t="s">
        <v>21</v>
      </c>
      <c r="E199" s="8">
        <v>84598.88</v>
      </c>
      <c r="F199" s="8" t="s">
        <v>593</v>
      </c>
      <c r="G199" s="8">
        <v>1</v>
      </c>
      <c r="H199" s="8" t="s">
        <v>41</v>
      </c>
      <c r="I199" s="8" t="s">
        <v>47</v>
      </c>
      <c r="J199" s="8" t="s">
        <v>720</v>
      </c>
    </row>
    <row r="200" spans="1:10" x14ac:dyDescent="0.3">
      <c r="A200" s="8" t="s">
        <v>721</v>
      </c>
      <c r="B200" s="8" t="s">
        <v>722</v>
      </c>
      <c r="C200" s="8" t="s">
        <v>28</v>
      </c>
      <c r="D200" s="8" t="s">
        <v>34</v>
      </c>
      <c r="E200" s="8">
        <v>68795.48</v>
      </c>
      <c r="F200" s="9">
        <v>44277</v>
      </c>
      <c r="G200" s="8">
        <v>0.2</v>
      </c>
      <c r="H200" s="8" t="s">
        <v>23</v>
      </c>
      <c r="I200" s="8" t="s">
        <v>115</v>
      </c>
      <c r="J200" s="8" t="s">
        <v>723</v>
      </c>
    </row>
    <row r="201" spans="1:10" x14ac:dyDescent="0.3">
      <c r="A201" s="8" t="s">
        <v>724</v>
      </c>
      <c r="B201" s="8" t="s">
        <v>725</v>
      </c>
      <c r="C201" s="8" t="s">
        <v>20</v>
      </c>
      <c r="D201" s="8" t="s">
        <v>21</v>
      </c>
      <c r="E201" s="8">
        <v>32269.91</v>
      </c>
      <c r="F201" s="8" t="s">
        <v>601</v>
      </c>
      <c r="G201" s="8">
        <v>1</v>
      </c>
      <c r="H201" s="8" t="s">
        <v>23</v>
      </c>
      <c r="I201" s="8" t="s">
        <v>107</v>
      </c>
      <c r="J201" s="8" t="s">
        <v>726</v>
      </c>
    </row>
    <row r="202" spans="1:10" x14ac:dyDescent="0.3">
      <c r="A202" s="8" t="s">
        <v>727</v>
      </c>
      <c r="B202" s="8" t="s">
        <v>728</v>
      </c>
      <c r="C202" s="8" t="s">
        <v>20</v>
      </c>
      <c r="D202" s="8" t="s">
        <v>45</v>
      </c>
      <c r="E202" s="8">
        <v>78705.929999999993</v>
      </c>
      <c r="F202" s="8" t="s">
        <v>729</v>
      </c>
      <c r="G202" s="8">
        <v>1</v>
      </c>
      <c r="H202" s="8" t="s">
        <v>41</v>
      </c>
      <c r="I202" s="8" t="s">
        <v>47</v>
      </c>
      <c r="J202" s="8" t="s">
        <v>730</v>
      </c>
    </row>
    <row r="203" spans="1:10" x14ac:dyDescent="0.3">
      <c r="A203" s="8" t="s">
        <v>731</v>
      </c>
      <c r="B203" s="8" t="s">
        <v>732</v>
      </c>
      <c r="C203" s="8" t="s">
        <v>28</v>
      </c>
      <c r="D203" s="8" t="s">
        <v>68</v>
      </c>
      <c r="E203" s="8">
        <v>53535.62</v>
      </c>
      <c r="F203" s="8" t="s">
        <v>733</v>
      </c>
      <c r="G203" s="8">
        <v>0.5</v>
      </c>
      <c r="H203" s="8" t="s">
        <v>41</v>
      </c>
      <c r="I203" s="8" t="s">
        <v>30</v>
      </c>
      <c r="J203" s="8" t="s">
        <v>734</v>
      </c>
    </row>
    <row r="204" spans="1:10" x14ac:dyDescent="0.3">
      <c r="A204" s="8" t="s">
        <v>735</v>
      </c>
      <c r="B204" s="8" t="s">
        <v>736</v>
      </c>
      <c r="C204" s="8" t="s">
        <v>20</v>
      </c>
      <c r="D204" s="8" t="s">
        <v>68</v>
      </c>
      <c r="E204" s="8">
        <v>41934.71</v>
      </c>
      <c r="F204" s="9">
        <v>43780</v>
      </c>
      <c r="G204" s="8">
        <v>1</v>
      </c>
      <c r="H204" s="8" t="s">
        <v>23</v>
      </c>
      <c r="I204" s="8" t="s">
        <v>107</v>
      </c>
      <c r="J204" s="8" t="s">
        <v>737</v>
      </c>
    </row>
    <row r="205" spans="1:10" x14ac:dyDescent="0.3">
      <c r="A205" s="8" t="s">
        <v>738</v>
      </c>
      <c r="B205" s="8" t="s">
        <v>739</v>
      </c>
      <c r="C205" s="8" t="s">
        <v>20</v>
      </c>
      <c r="D205" s="8" t="s">
        <v>78</v>
      </c>
      <c r="E205" s="8">
        <v>91929.69</v>
      </c>
      <c r="F205" s="9">
        <v>44085</v>
      </c>
      <c r="G205" s="8">
        <v>1</v>
      </c>
      <c r="H205" s="8" t="s">
        <v>41</v>
      </c>
      <c r="I205" s="8" t="s">
        <v>47</v>
      </c>
      <c r="J205" s="8" t="s">
        <v>740</v>
      </c>
    </row>
    <row r="206" spans="1:10" x14ac:dyDescent="0.3">
      <c r="A206" s="8" t="s">
        <v>741</v>
      </c>
      <c r="B206" s="8" t="s">
        <v>742</v>
      </c>
      <c r="C206" s="8" t="s">
        <v>28</v>
      </c>
      <c r="D206" s="8" t="s">
        <v>34</v>
      </c>
      <c r="E206" s="8">
        <v>62281.24</v>
      </c>
      <c r="F206" s="9">
        <v>43272</v>
      </c>
      <c r="G206" s="8">
        <v>1</v>
      </c>
      <c r="H206" s="8" t="s">
        <v>23</v>
      </c>
      <c r="I206" s="8" t="s">
        <v>107</v>
      </c>
      <c r="J206" s="8" t="s">
        <v>743</v>
      </c>
    </row>
    <row r="207" spans="1:10" x14ac:dyDescent="0.3">
      <c r="A207" s="8" t="s">
        <v>744</v>
      </c>
      <c r="B207" s="8" t="s">
        <v>745</v>
      </c>
      <c r="C207" s="8" t="s">
        <v>28</v>
      </c>
      <c r="D207" s="8" t="s">
        <v>78</v>
      </c>
      <c r="E207" s="8">
        <v>57925.91</v>
      </c>
      <c r="F207" s="8" t="s">
        <v>746</v>
      </c>
      <c r="G207" s="8">
        <v>0.5</v>
      </c>
      <c r="H207" s="8" t="s">
        <v>23</v>
      </c>
      <c r="I207" s="8" t="s">
        <v>47</v>
      </c>
      <c r="J207" s="8" t="s">
        <v>747</v>
      </c>
    </row>
    <row r="208" spans="1:10" x14ac:dyDescent="0.3">
      <c r="A208" s="8" t="s">
        <v>748</v>
      </c>
      <c r="B208" s="8" t="s">
        <v>749</v>
      </c>
      <c r="C208" s="8" t="s">
        <v>20</v>
      </c>
      <c r="D208" s="8" t="s">
        <v>34</v>
      </c>
      <c r="E208" s="8">
        <v>82239.53</v>
      </c>
      <c r="F208" s="9">
        <v>43846</v>
      </c>
      <c r="G208" s="8">
        <v>1</v>
      </c>
      <c r="H208" s="8" t="s">
        <v>85</v>
      </c>
      <c r="I208" s="8" t="s">
        <v>47</v>
      </c>
      <c r="J208" s="8" t="s">
        <v>750</v>
      </c>
    </row>
    <row r="209" spans="1:10" x14ac:dyDescent="0.3">
      <c r="A209" s="8" t="s">
        <v>751</v>
      </c>
      <c r="B209" s="8" t="s">
        <v>752</v>
      </c>
      <c r="C209" s="8" t="s">
        <v>20</v>
      </c>
      <c r="D209" s="8" t="s">
        <v>83</v>
      </c>
      <c r="E209" s="8">
        <v>53184.02</v>
      </c>
      <c r="F209" s="8" t="s">
        <v>753</v>
      </c>
      <c r="G209" s="8">
        <v>1</v>
      </c>
      <c r="H209" s="8" t="s">
        <v>41</v>
      </c>
      <c r="I209" s="8" t="s">
        <v>115</v>
      </c>
      <c r="J209" s="8" t="s">
        <v>754</v>
      </c>
    </row>
    <row r="210" spans="1:10" x14ac:dyDescent="0.3">
      <c r="A210" s="8" t="s">
        <v>755</v>
      </c>
      <c r="B210" s="8" t="s">
        <v>756</v>
      </c>
      <c r="C210" s="8" t="s">
        <v>20</v>
      </c>
      <c r="D210" s="8" t="s">
        <v>45</v>
      </c>
      <c r="E210" s="8">
        <v>35936.31</v>
      </c>
      <c r="F210" s="9">
        <v>43241</v>
      </c>
      <c r="G210" s="8">
        <v>1</v>
      </c>
      <c r="H210" s="8" t="s">
        <v>23</v>
      </c>
      <c r="I210" s="8" t="s">
        <v>47</v>
      </c>
      <c r="J210" s="8" t="s">
        <v>757</v>
      </c>
    </row>
    <row r="211" spans="1:10" x14ac:dyDescent="0.3">
      <c r="A211" s="8" t="s">
        <v>758</v>
      </c>
      <c r="B211" s="8" t="s">
        <v>759</v>
      </c>
      <c r="C211" s="8" t="s">
        <v>28</v>
      </c>
      <c r="D211" s="8" t="s">
        <v>68</v>
      </c>
      <c r="E211" s="8">
        <v>28305.08</v>
      </c>
      <c r="F211" s="9">
        <v>43754</v>
      </c>
      <c r="G211" s="8">
        <v>1</v>
      </c>
      <c r="H211" s="8" t="s">
        <v>23</v>
      </c>
      <c r="I211" s="8" t="s">
        <v>115</v>
      </c>
      <c r="J211" s="8" t="s">
        <v>760</v>
      </c>
    </row>
    <row r="212" spans="1:10" x14ac:dyDescent="0.3">
      <c r="A212" s="8" t="s">
        <v>761</v>
      </c>
      <c r="B212" s="8" t="s">
        <v>762</v>
      </c>
      <c r="C212" s="8" t="s">
        <v>28</v>
      </c>
      <c r="D212" s="8" t="s">
        <v>83</v>
      </c>
      <c r="E212" s="8">
        <v>29774.76</v>
      </c>
      <c r="F212" s="8" t="s">
        <v>763</v>
      </c>
      <c r="G212" s="8">
        <v>1</v>
      </c>
      <c r="H212" s="8" t="s">
        <v>23</v>
      </c>
      <c r="I212" s="8" t="s">
        <v>35</v>
      </c>
      <c r="J212" s="8" t="s">
        <v>764</v>
      </c>
    </row>
    <row r="213" spans="1:10" x14ac:dyDescent="0.3">
      <c r="A213" s="8" t="s">
        <v>765</v>
      </c>
      <c r="B213" s="8" t="s">
        <v>766</v>
      </c>
      <c r="C213" s="8" t="s">
        <v>28</v>
      </c>
      <c r="D213" s="8" t="s">
        <v>78</v>
      </c>
      <c r="E213" s="8">
        <v>102515.81</v>
      </c>
      <c r="F213" s="9">
        <v>43902</v>
      </c>
      <c r="G213" s="8">
        <v>1</v>
      </c>
      <c r="H213" s="8" t="s">
        <v>41</v>
      </c>
      <c r="I213" s="8" t="s">
        <v>74</v>
      </c>
      <c r="J213" s="8" t="s">
        <v>767</v>
      </c>
    </row>
    <row r="214" spans="1:10" x14ac:dyDescent="0.3">
      <c r="A214" s="8" t="s">
        <v>768</v>
      </c>
      <c r="B214" s="8" t="s">
        <v>769</v>
      </c>
      <c r="C214" s="8" t="s">
        <v>28</v>
      </c>
      <c r="D214" s="8" t="s">
        <v>78</v>
      </c>
      <c r="E214" s="8">
        <v>99448.78</v>
      </c>
      <c r="F214" s="8" t="s">
        <v>277</v>
      </c>
      <c r="G214" s="8">
        <v>1</v>
      </c>
      <c r="H214" s="8" t="s">
        <v>41</v>
      </c>
      <c r="I214" s="8" t="s">
        <v>47</v>
      </c>
      <c r="J214" s="8" t="s">
        <v>770</v>
      </c>
    </row>
    <row r="215" spans="1:10" x14ac:dyDescent="0.3">
      <c r="A215" s="8" t="s">
        <v>771</v>
      </c>
      <c r="B215" s="8" t="s">
        <v>772</v>
      </c>
      <c r="C215" s="8" t="s">
        <v>20</v>
      </c>
      <c r="D215" s="8" t="s">
        <v>21</v>
      </c>
      <c r="E215" s="8">
        <v>68795.48</v>
      </c>
      <c r="F215" s="9">
        <v>44277</v>
      </c>
      <c r="G215" s="8">
        <v>0.2</v>
      </c>
      <c r="H215" s="8" t="s">
        <v>23</v>
      </c>
      <c r="I215" s="8" t="s">
        <v>55</v>
      </c>
      <c r="J215" s="8" t="s">
        <v>773</v>
      </c>
    </row>
    <row r="216" spans="1:10" x14ac:dyDescent="0.3">
      <c r="A216" s="8" t="s">
        <v>774</v>
      </c>
      <c r="B216" s="8" t="s">
        <v>775</v>
      </c>
      <c r="C216" s="8" t="s">
        <v>28</v>
      </c>
      <c r="D216" s="8" t="s">
        <v>78</v>
      </c>
      <c r="E216" s="8">
        <v>99683.67</v>
      </c>
      <c r="F216" s="8" t="s">
        <v>363</v>
      </c>
      <c r="G216" s="8">
        <v>1</v>
      </c>
      <c r="H216" s="8" t="s">
        <v>41</v>
      </c>
      <c r="I216" s="8" t="s">
        <v>30</v>
      </c>
      <c r="J216" s="8" t="s">
        <v>776</v>
      </c>
    </row>
    <row r="217" spans="1:10" x14ac:dyDescent="0.3">
      <c r="A217" s="8" t="s">
        <v>777</v>
      </c>
      <c r="B217" s="8" t="s">
        <v>778</v>
      </c>
      <c r="C217" s="8" t="s">
        <v>20</v>
      </c>
      <c r="D217" s="8" t="s">
        <v>83</v>
      </c>
      <c r="E217" s="8">
        <v>38825.18</v>
      </c>
      <c r="F217" s="9">
        <v>43696</v>
      </c>
      <c r="G217" s="8">
        <v>1</v>
      </c>
      <c r="H217" s="8" t="s">
        <v>85</v>
      </c>
      <c r="I217" s="8" t="s">
        <v>55</v>
      </c>
      <c r="J217" s="8" t="s">
        <v>779</v>
      </c>
    </row>
    <row r="218" spans="1:10" x14ac:dyDescent="0.3">
      <c r="A218" s="8" t="s">
        <v>780</v>
      </c>
      <c r="B218" s="8" t="s">
        <v>781</v>
      </c>
      <c r="C218" s="8" t="s">
        <v>20</v>
      </c>
      <c r="D218" s="8" t="s">
        <v>83</v>
      </c>
      <c r="E218" s="8">
        <v>71229.42</v>
      </c>
      <c r="F218" s="9">
        <v>44166</v>
      </c>
      <c r="G218" s="8">
        <v>1</v>
      </c>
      <c r="H218" s="8" t="s">
        <v>23</v>
      </c>
      <c r="I218" s="8" t="s">
        <v>74</v>
      </c>
      <c r="J218" s="8" t="s">
        <v>782</v>
      </c>
    </row>
    <row r="219" spans="1:10" x14ac:dyDescent="0.3">
      <c r="A219" s="8" t="s">
        <v>783</v>
      </c>
      <c r="B219" s="8" t="s">
        <v>784</v>
      </c>
      <c r="C219" s="8" t="s">
        <v>28</v>
      </c>
      <c r="D219" s="8" t="s">
        <v>21</v>
      </c>
      <c r="E219" s="8">
        <v>80695.740000000005</v>
      </c>
      <c r="F219" s="9">
        <v>43360</v>
      </c>
      <c r="G219" s="8">
        <v>1</v>
      </c>
      <c r="H219" s="8" t="s">
        <v>23</v>
      </c>
      <c r="I219" s="8" t="s">
        <v>24</v>
      </c>
      <c r="J219" s="8" t="s">
        <v>785</v>
      </c>
    </row>
    <row r="220" spans="1:10" x14ac:dyDescent="0.3">
      <c r="A220" s="8" t="s">
        <v>786</v>
      </c>
      <c r="B220" s="8" t="s">
        <v>787</v>
      </c>
      <c r="C220" s="8" t="s">
        <v>28</v>
      </c>
      <c r="D220" s="8" t="s">
        <v>83</v>
      </c>
      <c r="E220" s="8">
        <v>72502.61</v>
      </c>
      <c r="F220" s="9">
        <v>44235</v>
      </c>
      <c r="G220" s="8">
        <v>1</v>
      </c>
      <c r="H220" s="8" t="s">
        <v>23</v>
      </c>
      <c r="I220" s="8" t="s">
        <v>74</v>
      </c>
      <c r="J220" s="8" t="s">
        <v>788</v>
      </c>
    </row>
    <row r="221" spans="1:10" x14ac:dyDescent="0.3">
      <c r="A221" s="8" t="s">
        <v>789</v>
      </c>
      <c r="B221" s="8" t="s">
        <v>790</v>
      </c>
      <c r="C221" s="8" t="s">
        <v>20</v>
      </c>
      <c r="D221" s="8" t="s">
        <v>83</v>
      </c>
      <c r="E221" s="8">
        <v>68197.899999999994</v>
      </c>
      <c r="F221" s="9">
        <v>44119</v>
      </c>
      <c r="G221" s="8">
        <v>1</v>
      </c>
      <c r="H221" s="8" t="s">
        <v>23</v>
      </c>
      <c r="I221" s="8" t="s">
        <v>30</v>
      </c>
      <c r="J221" s="8" t="s">
        <v>791</v>
      </c>
    </row>
    <row r="222" spans="1:10" x14ac:dyDescent="0.3">
      <c r="A222" s="8" t="s">
        <v>792</v>
      </c>
      <c r="B222" s="8" t="s">
        <v>793</v>
      </c>
      <c r="C222" s="8" t="s">
        <v>28</v>
      </c>
      <c r="D222" s="8" t="s">
        <v>29</v>
      </c>
      <c r="E222" s="8"/>
      <c r="F222" s="8" t="s">
        <v>794</v>
      </c>
      <c r="G222" s="8">
        <v>1</v>
      </c>
      <c r="H222" s="8" t="s">
        <v>41</v>
      </c>
      <c r="I222" s="8" t="s">
        <v>55</v>
      </c>
      <c r="J222" s="8" t="s">
        <v>795</v>
      </c>
    </row>
    <row r="223" spans="1:10" x14ac:dyDescent="0.3">
      <c r="A223" s="8" t="s">
        <v>796</v>
      </c>
      <c r="B223" s="8" t="s">
        <v>797</v>
      </c>
      <c r="C223" s="8" t="s">
        <v>20</v>
      </c>
      <c r="D223" s="8" t="s">
        <v>39</v>
      </c>
      <c r="E223" s="8">
        <v>89960.6</v>
      </c>
      <c r="F223" s="9">
        <v>43515</v>
      </c>
      <c r="G223" s="8">
        <v>1</v>
      </c>
      <c r="H223" s="8" t="s">
        <v>41</v>
      </c>
      <c r="I223" s="8" t="s">
        <v>115</v>
      </c>
      <c r="J223" s="8" t="s">
        <v>798</v>
      </c>
    </row>
    <row r="224" spans="1:10" x14ac:dyDescent="0.3">
      <c r="A224" s="8" t="s">
        <v>799</v>
      </c>
      <c r="B224" s="8" t="s">
        <v>800</v>
      </c>
      <c r="C224" s="8" t="s">
        <v>20</v>
      </c>
      <c r="D224" s="8" t="s">
        <v>78</v>
      </c>
      <c r="E224" s="8"/>
      <c r="F224" s="9">
        <v>44207</v>
      </c>
      <c r="G224" s="8">
        <v>0.7</v>
      </c>
      <c r="H224" s="8" t="s">
        <v>23</v>
      </c>
      <c r="I224" s="8" t="s">
        <v>74</v>
      </c>
      <c r="J224" s="8" t="s">
        <v>801</v>
      </c>
    </row>
    <row r="225" spans="1:10" x14ac:dyDescent="0.3">
      <c r="A225" s="8" t="s">
        <v>802</v>
      </c>
      <c r="B225" s="8" t="s">
        <v>803</v>
      </c>
      <c r="C225" s="8" t="s">
        <v>28</v>
      </c>
      <c r="D225" s="8" t="s">
        <v>39</v>
      </c>
      <c r="E225" s="8">
        <v>28481.16</v>
      </c>
      <c r="F225" s="9">
        <v>43916</v>
      </c>
      <c r="G225" s="8">
        <v>1</v>
      </c>
      <c r="H225" s="8" t="s">
        <v>23</v>
      </c>
      <c r="I225" s="8" t="s">
        <v>107</v>
      </c>
      <c r="J225" s="8" t="s">
        <v>804</v>
      </c>
    </row>
    <row r="226" spans="1:10" x14ac:dyDescent="0.3">
      <c r="A226" s="8" t="s">
        <v>805</v>
      </c>
      <c r="B226" s="8" t="s">
        <v>806</v>
      </c>
      <c r="C226" s="8" t="s">
        <v>20</v>
      </c>
      <c r="D226" s="8" t="s">
        <v>68</v>
      </c>
      <c r="E226" s="8">
        <v>116767.63</v>
      </c>
      <c r="F226" s="9">
        <v>43949</v>
      </c>
      <c r="G226" s="8">
        <v>0.4</v>
      </c>
      <c r="H226" s="8" t="s">
        <v>85</v>
      </c>
      <c r="I226" s="8" t="s">
        <v>24</v>
      </c>
      <c r="J226" s="8" t="s">
        <v>807</v>
      </c>
    </row>
    <row r="227" spans="1:10" x14ac:dyDescent="0.3">
      <c r="A227" s="8" t="s">
        <v>808</v>
      </c>
      <c r="B227" s="8" t="s">
        <v>809</v>
      </c>
      <c r="C227" s="8" t="s">
        <v>28</v>
      </c>
      <c r="D227" s="8" t="s">
        <v>39</v>
      </c>
      <c r="E227" s="8">
        <v>80360.41</v>
      </c>
      <c r="F227" s="8" t="s">
        <v>810</v>
      </c>
      <c r="G227" s="8">
        <v>1</v>
      </c>
      <c r="H227" s="8" t="s">
        <v>23</v>
      </c>
      <c r="I227" s="8" t="s">
        <v>35</v>
      </c>
      <c r="J227" s="8" t="s">
        <v>811</v>
      </c>
    </row>
    <row r="228" spans="1:10" x14ac:dyDescent="0.3">
      <c r="A228" s="8" t="s">
        <v>812</v>
      </c>
      <c r="B228" s="8" t="s">
        <v>813</v>
      </c>
      <c r="C228" s="8" t="s">
        <v>20</v>
      </c>
      <c r="D228" s="8" t="s">
        <v>83</v>
      </c>
      <c r="E228" s="8">
        <v>77045.440000000002</v>
      </c>
      <c r="F228" s="8" t="s">
        <v>814</v>
      </c>
      <c r="G228" s="8">
        <v>1</v>
      </c>
      <c r="H228" s="8" t="s">
        <v>23</v>
      </c>
      <c r="I228" s="8" t="s">
        <v>74</v>
      </c>
      <c r="J228" s="8" t="s">
        <v>815</v>
      </c>
    </row>
    <row r="229" spans="1:10" x14ac:dyDescent="0.3">
      <c r="A229" s="8" t="s">
        <v>816</v>
      </c>
      <c r="B229" s="8" t="s">
        <v>817</v>
      </c>
      <c r="C229" s="8" t="s">
        <v>20</v>
      </c>
      <c r="D229" s="8" t="s">
        <v>21</v>
      </c>
      <c r="E229" s="8">
        <v>96135.75</v>
      </c>
      <c r="F229" s="8" t="s">
        <v>818</v>
      </c>
      <c r="G229" s="8">
        <v>0.3</v>
      </c>
      <c r="H229" s="8" t="s">
        <v>23</v>
      </c>
      <c r="I229" s="8" t="s">
        <v>47</v>
      </c>
      <c r="J229" s="8" t="s">
        <v>819</v>
      </c>
    </row>
    <row r="230" spans="1:10" x14ac:dyDescent="0.3">
      <c r="A230" s="8" t="s">
        <v>820</v>
      </c>
      <c r="B230" s="8" t="s">
        <v>821</v>
      </c>
      <c r="C230" s="8" t="s">
        <v>20</v>
      </c>
      <c r="D230" s="8" t="s">
        <v>68</v>
      </c>
      <c r="E230" s="8">
        <v>102129.37</v>
      </c>
      <c r="F230" s="8" t="s">
        <v>493</v>
      </c>
      <c r="G230" s="8">
        <v>1</v>
      </c>
      <c r="H230" s="8" t="s">
        <v>23</v>
      </c>
      <c r="I230" s="8" t="s">
        <v>74</v>
      </c>
      <c r="J230" s="8" t="s">
        <v>822</v>
      </c>
    </row>
    <row r="231" spans="1:10" x14ac:dyDescent="0.3">
      <c r="A231" s="8" t="s">
        <v>823</v>
      </c>
      <c r="B231" s="8" t="s">
        <v>824</v>
      </c>
      <c r="C231" s="8" t="s">
        <v>28</v>
      </c>
      <c r="D231" s="8" t="s">
        <v>45</v>
      </c>
      <c r="E231" s="8">
        <v>99965.97</v>
      </c>
      <c r="F231" s="8" t="s">
        <v>825</v>
      </c>
      <c r="G231" s="8">
        <v>1</v>
      </c>
      <c r="H231" s="8" t="s">
        <v>23</v>
      </c>
      <c r="I231" s="8" t="s">
        <v>35</v>
      </c>
      <c r="J231" s="8" t="s">
        <v>826</v>
      </c>
    </row>
    <row r="232" spans="1:10" x14ac:dyDescent="0.3">
      <c r="A232" s="8" t="s">
        <v>827</v>
      </c>
      <c r="B232" s="8" t="s">
        <v>828</v>
      </c>
      <c r="C232" s="8" t="s">
        <v>20</v>
      </c>
      <c r="D232" s="8" t="s">
        <v>21</v>
      </c>
      <c r="E232" s="8">
        <v>49625.64</v>
      </c>
      <c r="F232" s="9">
        <v>44384</v>
      </c>
      <c r="G232" s="8">
        <v>0.5</v>
      </c>
      <c r="H232" s="8" t="s">
        <v>41</v>
      </c>
      <c r="I232" s="8" t="s">
        <v>30</v>
      </c>
      <c r="J232" s="8" t="s">
        <v>829</v>
      </c>
    </row>
    <row r="233" spans="1:10" x14ac:dyDescent="0.3">
      <c r="A233" s="8" t="s">
        <v>830</v>
      </c>
      <c r="B233" s="8" t="s">
        <v>831</v>
      </c>
      <c r="C233" s="8" t="s">
        <v>28</v>
      </c>
      <c r="D233" s="8" t="s">
        <v>45</v>
      </c>
      <c r="E233" s="8">
        <v>94815.28</v>
      </c>
      <c r="F233" s="8" t="s">
        <v>832</v>
      </c>
      <c r="G233" s="8">
        <v>1</v>
      </c>
      <c r="H233" s="8" t="s">
        <v>23</v>
      </c>
      <c r="I233" s="8" t="s">
        <v>107</v>
      </c>
      <c r="J233" s="8" t="s">
        <v>833</v>
      </c>
    </row>
    <row r="234" spans="1:10" x14ac:dyDescent="0.3">
      <c r="A234" s="8" t="s">
        <v>834</v>
      </c>
      <c r="B234" s="8" t="s">
        <v>835</v>
      </c>
      <c r="C234" s="8" t="s">
        <v>28</v>
      </c>
      <c r="D234" s="8" t="s">
        <v>21</v>
      </c>
      <c r="E234" s="8">
        <v>36714.379999999997</v>
      </c>
      <c r="F234" s="9">
        <v>44175</v>
      </c>
      <c r="G234" s="8">
        <v>1</v>
      </c>
      <c r="H234" s="8" t="s">
        <v>23</v>
      </c>
      <c r="I234" s="8" t="s">
        <v>55</v>
      </c>
      <c r="J234" s="8" t="s">
        <v>836</v>
      </c>
    </row>
    <row r="235" spans="1:10" x14ac:dyDescent="0.3">
      <c r="A235" s="8" t="s">
        <v>837</v>
      </c>
      <c r="B235" s="8" t="s">
        <v>838</v>
      </c>
      <c r="C235" s="8" t="s">
        <v>20</v>
      </c>
      <c r="D235" s="8" t="s">
        <v>39</v>
      </c>
      <c r="E235" s="8">
        <v>67905.8</v>
      </c>
      <c r="F235" s="9">
        <v>44194</v>
      </c>
      <c r="G235" s="8">
        <v>1</v>
      </c>
      <c r="H235" s="8" t="s">
        <v>23</v>
      </c>
      <c r="I235" s="8" t="s">
        <v>107</v>
      </c>
      <c r="J235" s="8" t="s">
        <v>839</v>
      </c>
    </row>
    <row r="236" spans="1:10" x14ac:dyDescent="0.3">
      <c r="A236" s="8" t="s">
        <v>840</v>
      </c>
      <c r="B236" s="8" t="s">
        <v>841</v>
      </c>
      <c r="C236" s="8" t="s">
        <v>20</v>
      </c>
      <c r="D236" s="8" t="s">
        <v>21</v>
      </c>
      <c r="E236" s="8">
        <v>69862.38</v>
      </c>
      <c r="F236" s="8" t="s">
        <v>842</v>
      </c>
      <c r="G236" s="8">
        <v>1</v>
      </c>
      <c r="H236" s="8" t="s">
        <v>23</v>
      </c>
      <c r="I236" s="8" t="s">
        <v>24</v>
      </c>
      <c r="J236" s="8" t="s">
        <v>843</v>
      </c>
    </row>
    <row r="237" spans="1:10" x14ac:dyDescent="0.3">
      <c r="A237" s="8" t="s">
        <v>844</v>
      </c>
      <c r="B237" s="8" t="s">
        <v>845</v>
      </c>
      <c r="C237" s="8" t="s">
        <v>20</v>
      </c>
      <c r="D237" s="8" t="s">
        <v>39</v>
      </c>
      <c r="E237" s="8">
        <v>36547.58</v>
      </c>
      <c r="F237" s="9">
        <v>43416</v>
      </c>
      <c r="G237" s="8">
        <v>1</v>
      </c>
      <c r="H237" s="8" t="s">
        <v>23</v>
      </c>
      <c r="I237" s="8" t="s">
        <v>107</v>
      </c>
      <c r="J237" s="8" t="s">
        <v>846</v>
      </c>
    </row>
    <row r="238" spans="1:10" x14ac:dyDescent="0.3">
      <c r="A238" s="8" t="s">
        <v>847</v>
      </c>
      <c r="B238" s="8" t="s">
        <v>848</v>
      </c>
      <c r="C238" s="8" t="s">
        <v>28</v>
      </c>
      <c r="D238" s="8" t="s">
        <v>29</v>
      </c>
      <c r="E238" s="8">
        <v>106400.02</v>
      </c>
      <c r="F238" s="8" t="s">
        <v>849</v>
      </c>
      <c r="G238" s="8">
        <v>1</v>
      </c>
      <c r="H238" s="8" t="s">
        <v>85</v>
      </c>
      <c r="I238" s="8" t="s">
        <v>35</v>
      </c>
      <c r="J238" s="8" t="s">
        <v>850</v>
      </c>
    </row>
    <row r="239" spans="1:10" x14ac:dyDescent="0.3">
      <c r="A239" s="8" t="s">
        <v>851</v>
      </c>
      <c r="B239" s="8" t="s">
        <v>852</v>
      </c>
      <c r="C239" s="8" t="s">
        <v>20</v>
      </c>
      <c r="D239" s="8" t="s">
        <v>29</v>
      </c>
      <c r="E239" s="8">
        <v>103494.94</v>
      </c>
      <c r="F239" s="8" t="s">
        <v>853</v>
      </c>
      <c r="G239" s="8">
        <v>1</v>
      </c>
      <c r="H239" s="8" t="s">
        <v>23</v>
      </c>
      <c r="I239" s="8" t="s">
        <v>115</v>
      </c>
      <c r="J239" s="8" t="s">
        <v>854</v>
      </c>
    </row>
    <row r="240" spans="1:10" x14ac:dyDescent="0.3">
      <c r="A240" s="8" t="s">
        <v>855</v>
      </c>
      <c r="B240" s="8" t="s">
        <v>856</v>
      </c>
      <c r="C240" s="8" t="s">
        <v>28</v>
      </c>
      <c r="D240" s="8" t="s">
        <v>78</v>
      </c>
      <c r="E240" s="8">
        <v>96753.78</v>
      </c>
      <c r="F240" s="9">
        <v>44494</v>
      </c>
      <c r="G240" s="8">
        <v>1</v>
      </c>
      <c r="H240" s="8" t="s">
        <v>23</v>
      </c>
      <c r="I240" s="8" t="s">
        <v>74</v>
      </c>
      <c r="J240" s="8" t="s">
        <v>857</v>
      </c>
    </row>
    <row r="241" spans="1:10" x14ac:dyDescent="0.3">
      <c r="A241" s="8" t="s">
        <v>858</v>
      </c>
      <c r="B241" s="8" t="s">
        <v>859</v>
      </c>
      <c r="C241" s="8" t="s">
        <v>28</v>
      </c>
      <c r="D241" s="8" t="s">
        <v>78</v>
      </c>
      <c r="E241" s="8">
        <v>80695.740000000005</v>
      </c>
      <c r="F241" s="9">
        <v>43360</v>
      </c>
      <c r="G241" s="8">
        <v>1</v>
      </c>
      <c r="H241" s="8" t="s">
        <v>23</v>
      </c>
      <c r="I241" s="8" t="s">
        <v>115</v>
      </c>
      <c r="J241" s="8" t="s">
        <v>860</v>
      </c>
    </row>
    <row r="242" spans="1:10" x14ac:dyDescent="0.3">
      <c r="A242" s="8" t="s">
        <v>861</v>
      </c>
      <c r="B242" s="8" t="s">
        <v>862</v>
      </c>
      <c r="C242" s="8" t="s">
        <v>28</v>
      </c>
      <c r="D242" s="8" t="s">
        <v>39</v>
      </c>
      <c r="E242" s="8">
        <v>61213.01</v>
      </c>
      <c r="F242" s="8" t="s">
        <v>863</v>
      </c>
      <c r="G242" s="8">
        <v>1</v>
      </c>
      <c r="H242" s="8" t="s">
        <v>23</v>
      </c>
      <c r="I242" s="8" t="s">
        <v>55</v>
      </c>
      <c r="J242" s="8" t="s">
        <v>864</v>
      </c>
    </row>
    <row r="243" spans="1:10" x14ac:dyDescent="0.3">
      <c r="A243" s="8" t="s">
        <v>865</v>
      </c>
      <c r="B243" s="8" t="s">
        <v>866</v>
      </c>
      <c r="C243" s="8" t="s">
        <v>20</v>
      </c>
      <c r="D243" s="8" t="s">
        <v>45</v>
      </c>
      <c r="E243" s="8">
        <v>69709.509999999995</v>
      </c>
      <c r="F243" s="8" t="s">
        <v>867</v>
      </c>
      <c r="G243" s="8">
        <v>1</v>
      </c>
      <c r="H243" s="8" t="s">
        <v>23</v>
      </c>
      <c r="I243" s="8" t="s">
        <v>24</v>
      </c>
      <c r="J243" s="8" t="s">
        <v>868</v>
      </c>
    </row>
    <row r="244" spans="1:10" x14ac:dyDescent="0.3">
      <c r="A244" s="8" t="s">
        <v>869</v>
      </c>
      <c r="B244" s="8" t="s">
        <v>870</v>
      </c>
      <c r="C244" s="8" t="s">
        <v>20</v>
      </c>
      <c r="D244" s="8" t="s">
        <v>78</v>
      </c>
      <c r="E244" s="8">
        <v>46751.7</v>
      </c>
      <c r="F244" s="9">
        <v>43843</v>
      </c>
      <c r="G244" s="8">
        <v>1</v>
      </c>
      <c r="H244" s="8" t="s">
        <v>41</v>
      </c>
      <c r="I244" s="8" t="s">
        <v>115</v>
      </c>
      <c r="J244" s="8" t="s">
        <v>871</v>
      </c>
    </row>
    <row r="245" spans="1:10" x14ac:dyDescent="0.3">
      <c r="A245" s="8" t="s">
        <v>872</v>
      </c>
      <c r="B245" s="8" t="s">
        <v>873</v>
      </c>
      <c r="C245" s="8" t="s">
        <v>28</v>
      </c>
      <c r="D245" s="8" t="s">
        <v>29</v>
      </c>
      <c r="E245" s="8">
        <v>77096.05</v>
      </c>
      <c r="F245" s="9">
        <v>43217</v>
      </c>
      <c r="G245" s="8">
        <v>1</v>
      </c>
      <c r="H245" s="8" t="s">
        <v>23</v>
      </c>
      <c r="I245" s="8" t="s">
        <v>24</v>
      </c>
      <c r="J245" s="8" t="s">
        <v>874</v>
      </c>
    </row>
    <row r="246" spans="1:10" x14ac:dyDescent="0.3">
      <c r="A246" s="8" t="s">
        <v>875</v>
      </c>
      <c r="B246" s="8" t="s">
        <v>876</v>
      </c>
      <c r="C246" s="8" t="s">
        <v>20</v>
      </c>
      <c r="D246" s="8" t="s">
        <v>45</v>
      </c>
      <c r="E246" s="8">
        <v>67818.14</v>
      </c>
      <c r="F246" s="8" t="s">
        <v>209</v>
      </c>
      <c r="G246" s="8">
        <v>0.6</v>
      </c>
      <c r="H246" s="8" t="s">
        <v>41</v>
      </c>
      <c r="I246" s="8" t="s">
        <v>115</v>
      </c>
      <c r="J246" s="8" t="s">
        <v>877</v>
      </c>
    </row>
    <row r="247" spans="1:10" x14ac:dyDescent="0.3">
      <c r="A247" s="8" t="s">
        <v>878</v>
      </c>
      <c r="B247" s="8" t="s">
        <v>879</v>
      </c>
      <c r="C247" s="8" t="s">
        <v>20</v>
      </c>
      <c r="D247" s="8" t="s">
        <v>68</v>
      </c>
      <c r="E247" s="8">
        <v>77743.149999999994</v>
      </c>
      <c r="F247" s="8" t="s">
        <v>880</v>
      </c>
      <c r="G247" s="8">
        <v>1</v>
      </c>
      <c r="H247" s="8" t="s">
        <v>23</v>
      </c>
      <c r="I247" s="8" t="s">
        <v>74</v>
      </c>
      <c r="J247" s="8" t="s">
        <v>881</v>
      </c>
    </row>
    <row r="248" spans="1:10" x14ac:dyDescent="0.3">
      <c r="A248" s="8" t="s">
        <v>882</v>
      </c>
      <c r="B248" s="8" t="s">
        <v>883</v>
      </c>
      <c r="C248" s="8" t="s">
        <v>20</v>
      </c>
      <c r="D248" s="8" t="s">
        <v>34</v>
      </c>
      <c r="E248" s="8">
        <v>48525.71</v>
      </c>
      <c r="F248" s="8" t="s">
        <v>884</v>
      </c>
      <c r="G248" s="8">
        <v>1</v>
      </c>
      <c r="H248" s="8" t="s">
        <v>23</v>
      </c>
      <c r="I248" s="8" t="s">
        <v>74</v>
      </c>
      <c r="J248" s="8" t="s">
        <v>885</v>
      </c>
    </row>
    <row r="249" spans="1:10" x14ac:dyDescent="0.3">
      <c r="A249" s="8" t="s">
        <v>886</v>
      </c>
      <c r="B249" s="8" t="s">
        <v>887</v>
      </c>
      <c r="C249" s="8" t="s">
        <v>28</v>
      </c>
      <c r="D249" s="8" t="s">
        <v>34</v>
      </c>
      <c r="E249" s="8">
        <v>103494.94</v>
      </c>
      <c r="F249" s="8" t="s">
        <v>853</v>
      </c>
      <c r="G249" s="8">
        <v>1</v>
      </c>
      <c r="H249" s="8" t="s">
        <v>23</v>
      </c>
      <c r="I249" s="8" t="s">
        <v>35</v>
      </c>
      <c r="J249" s="8" t="s">
        <v>888</v>
      </c>
    </row>
    <row r="250" spans="1:10" x14ac:dyDescent="0.3">
      <c r="A250" s="8" t="s">
        <v>889</v>
      </c>
      <c r="B250" s="8" t="s">
        <v>890</v>
      </c>
      <c r="C250" s="8" t="s">
        <v>28</v>
      </c>
      <c r="D250" s="8" t="s">
        <v>78</v>
      </c>
      <c r="E250" s="8">
        <v>106400.02</v>
      </c>
      <c r="F250" s="8" t="s">
        <v>849</v>
      </c>
      <c r="G250" s="8">
        <v>1</v>
      </c>
      <c r="H250" s="8" t="s">
        <v>85</v>
      </c>
      <c r="I250" s="8" t="s">
        <v>24</v>
      </c>
      <c r="J250" s="8" t="s">
        <v>891</v>
      </c>
    </row>
    <row r="251" spans="1:10" x14ac:dyDescent="0.3">
      <c r="A251" s="8" t="s">
        <v>892</v>
      </c>
      <c r="B251" s="8" t="s">
        <v>893</v>
      </c>
      <c r="C251" s="8" t="s">
        <v>20</v>
      </c>
      <c r="D251" s="8" t="s">
        <v>34</v>
      </c>
      <c r="E251" s="8"/>
      <c r="F251" s="8" t="s">
        <v>894</v>
      </c>
      <c r="G251" s="8">
        <v>1</v>
      </c>
      <c r="H251" s="8" t="s">
        <v>23</v>
      </c>
      <c r="I251" s="8" t="s">
        <v>35</v>
      </c>
      <c r="J251" s="8" t="s">
        <v>895</v>
      </c>
    </row>
    <row r="252" spans="1:10" x14ac:dyDescent="0.3">
      <c r="A252" s="8" t="s">
        <v>896</v>
      </c>
      <c r="B252" s="8" t="s">
        <v>897</v>
      </c>
      <c r="C252" s="8" t="s">
        <v>20</v>
      </c>
      <c r="D252" s="8" t="s">
        <v>45</v>
      </c>
      <c r="E252" s="8">
        <v>65569.36</v>
      </c>
      <c r="F252" s="9">
        <v>43293</v>
      </c>
      <c r="G252" s="8">
        <v>1</v>
      </c>
      <c r="H252" s="8" t="s">
        <v>41</v>
      </c>
      <c r="I252" s="8" t="s">
        <v>30</v>
      </c>
      <c r="J252" s="8" t="s">
        <v>898</v>
      </c>
    </row>
    <row r="253" spans="1:10" x14ac:dyDescent="0.3">
      <c r="A253" s="8" t="s">
        <v>899</v>
      </c>
      <c r="B253" s="8" t="s">
        <v>900</v>
      </c>
      <c r="C253" s="8" t="s">
        <v>28</v>
      </c>
      <c r="D253" s="8" t="s">
        <v>78</v>
      </c>
      <c r="E253" s="8">
        <v>40445.29</v>
      </c>
      <c r="F253" s="9">
        <v>44393</v>
      </c>
      <c r="G253" s="8">
        <v>1</v>
      </c>
      <c r="H253" s="8" t="s">
        <v>23</v>
      </c>
      <c r="I253" s="8" t="s">
        <v>115</v>
      </c>
      <c r="J253" s="8" t="s">
        <v>901</v>
      </c>
    </row>
    <row r="254" spans="1:10" x14ac:dyDescent="0.3">
      <c r="A254" s="8" t="s">
        <v>902</v>
      </c>
      <c r="B254" s="8" t="s">
        <v>903</v>
      </c>
      <c r="C254" s="8" t="s">
        <v>28</v>
      </c>
      <c r="D254" s="8" t="s">
        <v>45</v>
      </c>
      <c r="E254" s="8">
        <v>0</v>
      </c>
      <c r="F254" s="9">
        <v>44207</v>
      </c>
      <c r="G254" s="8">
        <v>0.7</v>
      </c>
      <c r="H254" s="8" t="s">
        <v>23</v>
      </c>
      <c r="I254" s="8" t="s">
        <v>24</v>
      </c>
      <c r="J254" s="8" t="s">
        <v>904</v>
      </c>
    </row>
    <row r="255" spans="1:10" x14ac:dyDescent="0.3">
      <c r="A255" s="8" t="s">
        <v>905</v>
      </c>
      <c r="B255" s="8" t="s">
        <v>906</v>
      </c>
      <c r="C255" s="8" t="s">
        <v>28</v>
      </c>
      <c r="D255" s="8" t="s">
        <v>83</v>
      </c>
      <c r="E255" s="8">
        <v>114772.32</v>
      </c>
      <c r="F255" s="8" t="s">
        <v>907</v>
      </c>
      <c r="G255" s="8">
        <v>1</v>
      </c>
      <c r="H255" s="8" t="s">
        <v>23</v>
      </c>
      <c r="I255" s="8" t="s">
        <v>24</v>
      </c>
      <c r="J255" s="8" t="s">
        <v>908</v>
      </c>
    </row>
    <row r="256" spans="1:10" x14ac:dyDescent="0.3">
      <c r="A256" s="8" t="s">
        <v>909</v>
      </c>
      <c r="B256" s="8" t="s">
        <v>910</v>
      </c>
      <c r="C256" s="8" t="s">
        <v>20</v>
      </c>
      <c r="D256" s="8" t="s">
        <v>78</v>
      </c>
      <c r="E256" s="8">
        <v>56253.81</v>
      </c>
      <c r="F256" s="8" t="s">
        <v>911</v>
      </c>
      <c r="G256" s="8">
        <v>1</v>
      </c>
      <c r="H256" s="8" t="s">
        <v>23</v>
      </c>
      <c r="I256" s="8" t="s">
        <v>35</v>
      </c>
      <c r="J256" s="8" t="s">
        <v>912</v>
      </c>
    </row>
    <row r="257" spans="1:10" x14ac:dyDescent="0.3">
      <c r="A257" s="8" t="s">
        <v>913</v>
      </c>
      <c r="B257" s="8" t="s">
        <v>914</v>
      </c>
      <c r="C257" s="8" t="s">
        <v>20</v>
      </c>
      <c r="D257" s="8" t="s">
        <v>78</v>
      </c>
      <c r="E257" s="8">
        <v>51798.25</v>
      </c>
      <c r="F257" s="8" t="s">
        <v>187</v>
      </c>
      <c r="G257" s="8">
        <v>1</v>
      </c>
      <c r="H257" s="8" t="s">
        <v>23</v>
      </c>
      <c r="I257" s="8" t="s">
        <v>107</v>
      </c>
      <c r="J257" s="8" t="s">
        <v>915</v>
      </c>
    </row>
    <row r="258" spans="1:10" x14ac:dyDescent="0.3">
      <c r="A258" s="8" t="s">
        <v>916</v>
      </c>
      <c r="B258" s="8" t="s">
        <v>917</v>
      </c>
      <c r="C258" s="8" t="s">
        <v>20</v>
      </c>
      <c r="D258" s="8" t="s">
        <v>39</v>
      </c>
      <c r="E258" s="8">
        <v>28329.77</v>
      </c>
      <c r="F258" s="8" t="s">
        <v>457</v>
      </c>
      <c r="G258" s="8">
        <v>1</v>
      </c>
      <c r="H258" s="8" t="s">
        <v>23</v>
      </c>
      <c r="I258" s="8" t="s">
        <v>24</v>
      </c>
      <c r="J258" s="8" t="s">
        <v>918</v>
      </c>
    </row>
    <row r="259" spans="1:10" x14ac:dyDescent="0.3">
      <c r="A259" s="8" t="s">
        <v>919</v>
      </c>
      <c r="B259" s="8" t="s">
        <v>489</v>
      </c>
      <c r="C259" s="8" t="s">
        <v>20</v>
      </c>
      <c r="D259" s="8" t="s">
        <v>45</v>
      </c>
      <c r="E259" s="8">
        <v>93964.3</v>
      </c>
      <c r="F259" s="9">
        <v>44454</v>
      </c>
      <c r="G259" s="8">
        <v>0.4</v>
      </c>
      <c r="H259" s="8" t="s">
        <v>41</v>
      </c>
      <c r="I259" s="8" t="s">
        <v>107</v>
      </c>
      <c r="J259" s="8" t="s">
        <v>920</v>
      </c>
    </row>
    <row r="260" spans="1:10" x14ac:dyDescent="0.3">
      <c r="A260" s="8" t="s">
        <v>921</v>
      </c>
      <c r="B260" s="8" t="s">
        <v>922</v>
      </c>
      <c r="C260" s="8" t="s">
        <v>20</v>
      </c>
      <c r="D260" s="8" t="s">
        <v>21</v>
      </c>
      <c r="E260" s="8">
        <v>90884.32</v>
      </c>
      <c r="F260" s="9">
        <v>44039</v>
      </c>
      <c r="G260" s="8">
        <v>0.5</v>
      </c>
      <c r="H260" s="8" t="s">
        <v>23</v>
      </c>
      <c r="I260" s="8" t="s">
        <v>55</v>
      </c>
      <c r="J260" s="8" t="s">
        <v>923</v>
      </c>
    </row>
    <row r="261" spans="1:10" x14ac:dyDescent="0.3">
      <c r="A261" s="8" t="s">
        <v>924</v>
      </c>
      <c r="B261" s="8" t="s">
        <v>925</v>
      </c>
      <c r="C261" s="8" t="s">
        <v>28</v>
      </c>
      <c r="D261" s="8" t="s">
        <v>29</v>
      </c>
      <c r="E261" s="8">
        <v>84742.86</v>
      </c>
      <c r="F261" s="8" t="s">
        <v>926</v>
      </c>
      <c r="G261" s="8">
        <v>1</v>
      </c>
      <c r="H261" s="8" t="s">
        <v>23</v>
      </c>
      <c r="I261" s="8" t="s">
        <v>47</v>
      </c>
      <c r="J261" s="8" t="s">
        <v>927</v>
      </c>
    </row>
    <row r="262" spans="1:10" x14ac:dyDescent="0.3">
      <c r="A262" s="8" t="s">
        <v>928</v>
      </c>
      <c r="B262" s="8" t="s">
        <v>929</v>
      </c>
      <c r="C262" s="8" t="s">
        <v>28</v>
      </c>
      <c r="D262" s="8" t="s">
        <v>83</v>
      </c>
      <c r="E262" s="8">
        <v>80772.92</v>
      </c>
      <c r="F262" s="8" t="s">
        <v>930</v>
      </c>
      <c r="G262" s="8">
        <v>1</v>
      </c>
      <c r="H262" s="8" t="s">
        <v>85</v>
      </c>
      <c r="I262" s="8" t="s">
        <v>107</v>
      </c>
      <c r="J262" s="8" t="s">
        <v>931</v>
      </c>
    </row>
    <row r="263" spans="1:10" x14ac:dyDescent="0.3">
      <c r="A263" s="8" t="s">
        <v>932</v>
      </c>
      <c r="B263" s="8" t="s">
        <v>933</v>
      </c>
      <c r="C263" s="8" t="s">
        <v>20</v>
      </c>
      <c r="D263" s="8" t="s">
        <v>21</v>
      </c>
      <c r="E263" s="8">
        <v>85264.38</v>
      </c>
      <c r="F263" s="8" t="s">
        <v>934</v>
      </c>
      <c r="G263" s="8">
        <v>1</v>
      </c>
      <c r="H263" s="8" t="s">
        <v>23</v>
      </c>
      <c r="I263" s="8" t="s">
        <v>55</v>
      </c>
      <c r="J263" s="8" t="s">
        <v>935</v>
      </c>
    </row>
    <row r="264" spans="1:10" x14ac:dyDescent="0.3">
      <c r="A264" s="8" t="s">
        <v>936</v>
      </c>
      <c r="B264" s="8" t="s">
        <v>937</v>
      </c>
      <c r="C264" s="8" t="s">
        <v>28</v>
      </c>
      <c r="D264" s="8" t="s">
        <v>29</v>
      </c>
      <c r="E264" s="8"/>
      <c r="F264" s="8" t="s">
        <v>281</v>
      </c>
      <c r="G264" s="8">
        <v>1</v>
      </c>
      <c r="H264" s="8" t="s">
        <v>23</v>
      </c>
      <c r="I264" s="8" t="s">
        <v>115</v>
      </c>
      <c r="J264" s="8" t="s">
        <v>938</v>
      </c>
    </row>
    <row r="265" spans="1:10" x14ac:dyDescent="0.3">
      <c r="A265" s="8" t="s">
        <v>939</v>
      </c>
      <c r="B265" s="8" t="s">
        <v>940</v>
      </c>
      <c r="C265" s="8" t="s">
        <v>28</v>
      </c>
      <c r="D265" s="8" t="s">
        <v>39</v>
      </c>
      <c r="E265" s="8">
        <v>113747.56</v>
      </c>
      <c r="F265" s="8" t="s">
        <v>285</v>
      </c>
      <c r="G265" s="8">
        <v>0.7</v>
      </c>
      <c r="H265" s="8" t="s">
        <v>85</v>
      </c>
      <c r="I265" s="8" t="s">
        <v>74</v>
      </c>
      <c r="J265" s="8" t="s">
        <v>941</v>
      </c>
    </row>
    <row r="266" spans="1:10" x14ac:dyDescent="0.3">
      <c r="A266" s="8" t="s">
        <v>942</v>
      </c>
      <c r="B266" s="8" t="s">
        <v>61</v>
      </c>
      <c r="C266" s="8" t="s">
        <v>28</v>
      </c>
      <c r="D266" s="8" t="s">
        <v>21</v>
      </c>
      <c r="E266" s="8">
        <v>78378.2</v>
      </c>
      <c r="F266" s="9">
        <v>43465</v>
      </c>
      <c r="G266" s="8">
        <v>0.4</v>
      </c>
      <c r="H266" s="8" t="s">
        <v>23</v>
      </c>
      <c r="I266" s="8" t="s">
        <v>115</v>
      </c>
      <c r="J266" s="8" t="s">
        <v>943</v>
      </c>
    </row>
    <row r="267" spans="1:10" x14ac:dyDescent="0.3">
      <c r="A267" s="8" t="s">
        <v>944</v>
      </c>
      <c r="B267" s="8" t="s">
        <v>945</v>
      </c>
      <c r="C267" s="8" t="s">
        <v>28</v>
      </c>
      <c r="D267" s="8" t="s">
        <v>78</v>
      </c>
      <c r="E267" s="8">
        <v>91314.75</v>
      </c>
      <c r="F267" s="9">
        <v>43931</v>
      </c>
      <c r="G267" s="8">
        <v>1</v>
      </c>
      <c r="H267" s="8" t="s">
        <v>41</v>
      </c>
      <c r="I267" s="8" t="s">
        <v>35</v>
      </c>
      <c r="J267" s="8" t="s">
        <v>946</v>
      </c>
    </row>
    <row r="268" spans="1:10" x14ac:dyDescent="0.3">
      <c r="A268" s="8" t="s">
        <v>947</v>
      </c>
      <c r="B268" s="8" t="s">
        <v>948</v>
      </c>
      <c r="C268" s="8" t="s">
        <v>28</v>
      </c>
      <c r="D268" s="8" t="s">
        <v>78</v>
      </c>
      <c r="E268" s="8">
        <v>66572.58</v>
      </c>
      <c r="F268" s="8" t="s">
        <v>386</v>
      </c>
      <c r="G268" s="8">
        <v>1</v>
      </c>
      <c r="H268" s="8" t="s">
        <v>23</v>
      </c>
      <c r="I268" s="8" t="s">
        <v>55</v>
      </c>
      <c r="J268" s="8" t="s">
        <v>949</v>
      </c>
    </row>
    <row r="269" spans="1:10" x14ac:dyDescent="0.3">
      <c r="A269" s="8" t="s">
        <v>950</v>
      </c>
      <c r="B269" s="8" t="s">
        <v>951</v>
      </c>
      <c r="C269" s="8" t="s">
        <v>28</v>
      </c>
      <c r="D269" s="8" t="s">
        <v>21</v>
      </c>
      <c r="E269" s="8">
        <v>30077.45</v>
      </c>
      <c r="F269" s="9">
        <v>43474</v>
      </c>
      <c r="G269" s="8">
        <v>1</v>
      </c>
      <c r="H269" s="8" t="s">
        <v>23</v>
      </c>
      <c r="I269" s="8" t="s">
        <v>30</v>
      </c>
      <c r="J269" s="8" t="s">
        <v>952</v>
      </c>
    </row>
    <row r="270" spans="1:10" x14ac:dyDescent="0.3">
      <c r="A270" s="8" t="s">
        <v>953</v>
      </c>
      <c r="B270" s="8" t="s">
        <v>954</v>
      </c>
      <c r="C270" s="8" t="s">
        <v>28</v>
      </c>
      <c r="D270" s="8" t="s">
        <v>78</v>
      </c>
      <c r="E270" s="8">
        <v>98012.63</v>
      </c>
      <c r="F270" s="9">
        <v>43780</v>
      </c>
      <c r="G270" s="8">
        <v>1</v>
      </c>
      <c r="H270" s="8" t="s">
        <v>23</v>
      </c>
      <c r="I270" s="8" t="s">
        <v>30</v>
      </c>
      <c r="J270" s="8" t="s">
        <v>955</v>
      </c>
    </row>
    <row r="271" spans="1:10" x14ac:dyDescent="0.3">
      <c r="A271" s="8" t="s">
        <v>956</v>
      </c>
      <c r="B271" s="8" t="s">
        <v>957</v>
      </c>
      <c r="C271" s="8" t="s">
        <v>20</v>
      </c>
      <c r="D271" s="8" t="s">
        <v>45</v>
      </c>
      <c r="E271" s="8">
        <v>72876.91</v>
      </c>
      <c r="F271" s="9">
        <v>43837</v>
      </c>
      <c r="G271" s="8">
        <v>1</v>
      </c>
      <c r="H271" s="8" t="s">
        <v>23</v>
      </c>
      <c r="I271" s="8" t="s">
        <v>74</v>
      </c>
      <c r="J271" s="8" t="s">
        <v>958</v>
      </c>
    </row>
    <row r="272" spans="1:10" x14ac:dyDescent="0.3">
      <c r="A272" s="8" t="s">
        <v>959</v>
      </c>
      <c r="B272" s="8" t="s">
        <v>960</v>
      </c>
      <c r="C272" s="8" t="s">
        <v>20</v>
      </c>
      <c r="D272" s="8" t="s">
        <v>83</v>
      </c>
      <c r="E272" s="8">
        <v>92943.89</v>
      </c>
      <c r="F272" s="9">
        <v>44510</v>
      </c>
      <c r="G272" s="8">
        <v>1</v>
      </c>
      <c r="H272" s="8" t="s">
        <v>23</v>
      </c>
      <c r="I272" s="8" t="s">
        <v>74</v>
      </c>
      <c r="J272" s="8" t="s">
        <v>961</v>
      </c>
    </row>
    <row r="273" spans="1:10" x14ac:dyDescent="0.3">
      <c r="A273" s="8" t="s">
        <v>962</v>
      </c>
      <c r="B273" s="8" t="s">
        <v>963</v>
      </c>
      <c r="C273" s="8" t="s">
        <v>20</v>
      </c>
      <c r="D273" s="8" t="s">
        <v>45</v>
      </c>
      <c r="E273" s="8">
        <v>29808.07</v>
      </c>
      <c r="F273" s="8" t="s">
        <v>964</v>
      </c>
      <c r="G273" s="8">
        <v>0.3</v>
      </c>
      <c r="H273" s="8" t="s">
        <v>85</v>
      </c>
      <c r="I273" s="8" t="s">
        <v>35</v>
      </c>
      <c r="J273" s="8" t="s">
        <v>965</v>
      </c>
    </row>
    <row r="274" spans="1:10" x14ac:dyDescent="0.3">
      <c r="A274" s="8" t="s">
        <v>966</v>
      </c>
      <c r="B274" s="8" t="s">
        <v>967</v>
      </c>
      <c r="C274" s="8" t="s">
        <v>20</v>
      </c>
      <c r="D274" s="8" t="s">
        <v>45</v>
      </c>
      <c r="E274" s="8">
        <v>47551.89</v>
      </c>
      <c r="F274" s="9">
        <v>43468</v>
      </c>
      <c r="G274" s="8">
        <v>1</v>
      </c>
      <c r="H274" s="8" t="s">
        <v>23</v>
      </c>
      <c r="I274" s="8" t="s">
        <v>55</v>
      </c>
      <c r="J274" s="8" t="s">
        <v>968</v>
      </c>
    </row>
    <row r="275" spans="1:10" x14ac:dyDescent="0.3">
      <c r="A275" s="8" t="s">
        <v>969</v>
      </c>
      <c r="B275" s="8" t="s">
        <v>970</v>
      </c>
      <c r="C275" s="8" t="s">
        <v>20</v>
      </c>
      <c r="D275" s="8" t="s">
        <v>34</v>
      </c>
      <c r="E275" s="8">
        <v>39700.82</v>
      </c>
      <c r="F275" s="9">
        <v>44203</v>
      </c>
      <c r="G275" s="8">
        <v>0.8</v>
      </c>
      <c r="H275" s="8" t="s">
        <v>23</v>
      </c>
      <c r="I275" s="8" t="s">
        <v>24</v>
      </c>
      <c r="J275" s="8" t="s">
        <v>971</v>
      </c>
    </row>
    <row r="276" spans="1:10" x14ac:dyDescent="0.3">
      <c r="A276" s="8" t="s">
        <v>972</v>
      </c>
      <c r="B276" s="8" t="s">
        <v>973</v>
      </c>
      <c r="C276" s="8" t="s">
        <v>20</v>
      </c>
      <c r="D276" s="8" t="s">
        <v>21</v>
      </c>
      <c r="E276" s="8">
        <v>31089.22</v>
      </c>
      <c r="F276" s="9">
        <v>43776</v>
      </c>
      <c r="G276" s="8">
        <v>1</v>
      </c>
      <c r="H276" s="8" t="s">
        <v>41</v>
      </c>
      <c r="I276" s="8" t="s">
        <v>47</v>
      </c>
      <c r="J276" s="8" t="s">
        <v>974</v>
      </c>
    </row>
    <row r="277" spans="1:10" x14ac:dyDescent="0.3">
      <c r="A277" s="8" t="s">
        <v>975</v>
      </c>
      <c r="B277" s="8" t="s">
        <v>976</v>
      </c>
      <c r="C277" s="8" t="s">
        <v>28</v>
      </c>
      <c r="D277" s="8" t="s">
        <v>34</v>
      </c>
      <c r="E277" s="8">
        <v>78020.39</v>
      </c>
      <c r="F277" s="9">
        <v>43899</v>
      </c>
      <c r="G277" s="8">
        <v>1</v>
      </c>
      <c r="H277" s="8" t="s">
        <v>23</v>
      </c>
      <c r="I277" s="8" t="s">
        <v>35</v>
      </c>
      <c r="J277" s="8" t="s">
        <v>977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91B89-202B-4A29-8E87-BAC3CD9132AD}">
  <dimension ref="A1:BH25"/>
  <sheetViews>
    <sheetView zoomScaleNormal="100" workbookViewId="0">
      <selection activeCell="L10" sqref="L10"/>
    </sheetView>
  </sheetViews>
  <sheetFormatPr defaultRowHeight="20.399999999999999" x14ac:dyDescent="0.7"/>
  <cols>
    <col min="1" max="1" width="8.44140625" style="30" customWidth="1"/>
    <col min="2" max="2" width="20" style="30" bestFit="1" customWidth="1"/>
    <col min="3" max="3" width="20.33203125" style="30" bestFit="1" customWidth="1"/>
    <col min="4" max="4" width="16" style="30" bestFit="1" customWidth="1"/>
    <col min="5" max="5" width="36.33203125" style="30" bestFit="1" customWidth="1"/>
    <col min="6" max="6" width="18.21875" style="30" bestFit="1" customWidth="1"/>
    <col min="7" max="7" width="18" style="30" bestFit="1" customWidth="1"/>
    <col min="8" max="8" width="25.109375" style="30" bestFit="1" customWidth="1"/>
    <col min="9" max="9" width="15.5546875" style="30" bestFit="1" customWidth="1"/>
    <col min="10" max="16384" width="8.88671875" style="30"/>
  </cols>
  <sheetData>
    <row r="1" spans="1:60" x14ac:dyDescent="0.7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</row>
    <row r="2" spans="1:60" ht="12.6" customHeight="1" x14ac:dyDescent="0.7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</row>
    <row r="3" spans="1:60" x14ac:dyDescent="0.7">
      <c r="B3" s="79" t="s">
        <v>1558</v>
      </c>
      <c r="C3" s="79"/>
      <c r="D3" s="79"/>
      <c r="E3" s="79"/>
      <c r="F3" s="79"/>
      <c r="G3" s="79"/>
      <c r="H3" s="79"/>
      <c r="I3" s="79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</row>
    <row r="4" spans="1:60" x14ac:dyDescent="0.7">
      <c r="A4" s="32"/>
      <c r="B4" s="79"/>
      <c r="C4" s="79"/>
      <c r="D4" s="79"/>
      <c r="E4" s="79"/>
      <c r="F4" s="79"/>
      <c r="G4" s="79"/>
      <c r="H4" s="79"/>
      <c r="I4" s="79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</row>
    <row r="5" spans="1:60" ht="24" x14ac:dyDescent="0.85">
      <c r="A5" s="32"/>
      <c r="B5" s="33" t="s">
        <v>11</v>
      </c>
      <c r="C5" s="33" t="s">
        <v>1553</v>
      </c>
      <c r="D5" s="33" t="s">
        <v>1554</v>
      </c>
      <c r="E5" s="33" t="s">
        <v>1559</v>
      </c>
      <c r="F5" s="33" t="s">
        <v>1552</v>
      </c>
      <c r="G5" s="33" t="s">
        <v>1555</v>
      </c>
      <c r="H5" s="33" t="s">
        <v>1556</v>
      </c>
      <c r="I5" s="33" t="s">
        <v>1557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</row>
    <row r="6" spans="1:60" ht="30" customHeight="1" x14ac:dyDescent="0.7">
      <c r="A6" s="32"/>
      <c r="B6" s="34" t="str" cm="1">
        <f t="array" ref="B6:B13">_xlfn.UNIQUE(Emp[Department])</f>
        <v>Operations</v>
      </c>
      <c r="C6" s="34">
        <f>COUNTIF(Emp[Department], B6)</f>
        <v>42</v>
      </c>
      <c r="D6" s="35">
        <f>AVERAGEIF(Emp[Department],B6, Emp[Salary])</f>
        <v>73760.582619047607</v>
      </c>
      <c r="E6" s="35">
        <f>D6-(AVERAGE(Emp[Salary]))</f>
        <v>180.52023443221697</v>
      </c>
      <c r="F6" s="34">
        <f>_xlfn.MAXIFS(Emp[Salary], Emp[Department], B6)</f>
        <v>120000</v>
      </c>
      <c r="G6" s="34" cm="1">
        <f t="array" ref="G6">MEDIAN(_xlfn._xlws.FILTER(Emp[Salary], Emp[Department]=B6))</f>
        <v>77341.010000000009</v>
      </c>
      <c r="H6" s="34">
        <f>COUNTIFS(Emp[Department], B6, Emp[Salary], "&gt;100000")</f>
        <v>6</v>
      </c>
      <c r="I6" s="34">
        <f>_xlfn.RANK.EQ(D6, $D$6:$D$13)</f>
        <v>5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</row>
    <row r="7" spans="1:60" ht="30" customHeight="1" x14ac:dyDescent="0.7">
      <c r="A7" s="32"/>
      <c r="B7" s="34" t="str">
        <v>Marketing</v>
      </c>
      <c r="C7" s="34">
        <f>COUNTIF(Emp[Department], B7)</f>
        <v>26</v>
      </c>
      <c r="D7" s="35">
        <f>AVERAGEIF(Emp[Department],B7, Emp[Salary])</f>
        <v>77364.538846153839</v>
      </c>
      <c r="E7" s="35">
        <f>D7-(AVERAGE(Emp[Salary]))</f>
        <v>3784.4764615384483</v>
      </c>
      <c r="F7" s="34">
        <f>_xlfn.MAXIFS(Emp[Salary], Emp[Department], B7)</f>
        <v>120000</v>
      </c>
      <c r="G7" s="34" cm="1">
        <f t="array" ref="G7">MEDIAN(_xlfn._xlws.FILTER(Emp[Salary], Emp[Department]=B7))</f>
        <v>77170.415000000008</v>
      </c>
      <c r="H7" s="34">
        <f>COUNTIFS(Emp[Department], B7, Emp[Salary], "&gt;100000")</f>
        <v>6</v>
      </c>
      <c r="I7" s="34">
        <f t="shared" ref="I7:I13" si="0">_xlfn.RANK.EQ(D7, $D$6:$D$13)</f>
        <v>2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</row>
    <row r="8" spans="1:60" ht="30" customHeight="1" x14ac:dyDescent="0.7">
      <c r="A8" s="32"/>
      <c r="B8" s="34" t="str">
        <v>IT</v>
      </c>
      <c r="C8" s="34">
        <f>COUNTIF(Emp[Department], B8)</f>
        <v>27</v>
      </c>
      <c r="D8" s="35">
        <f>AVERAGEIF(Emp[Department],B8, Emp[Salary])</f>
        <v>81480.67777777779</v>
      </c>
      <c r="E8" s="35">
        <f>D8-(AVERAGE(Emp[Salary]))</f>
        <v>7900.6153931623994</v>
      </c>
      <c r="F8" s="34">
        <f>_xlfn.MAXIFS(Emp[Salary], Emp[Department], B8)</f>
        <v>119022.49</v>
      </c>
      <c r="G8" s="34" cm="1">
        <f t="array" ref="G8">MEDIAN(_xlfn._xlws.FILTER(Emp[Salary], Emp[Department]=B8))</f>
        <v>78840.23</v>
      </c>
      <c r="H8" s="34">
        <f>COUNTIFS(Emp[Department], B8, Emp[Salary], "&gt;100000")</f>
        <v>10</v>
      </c>
      <c r="I8" s="34">
        <f t="shared" si="0"/>
        <v>1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</row>
    <row r="9" spans="1:60" ht="30" customHeight="1" x14ac:dyDescent="0.7">
      <c r="A9" s="32"/>
      <c r="B9" s="34" t="str">
        <v>Customer Support</v>
      </c>
      <c r="C9" s="34">
        <f>COUNTIF(Emp[Department], B9)</f>
        <v>39</v>
      </c>
      <c r="D9" s="35">
        <f>AVERAGEIF(Emp[Department],B9, Emp[Salary])</f>
        <v>71175.071538461532</v>
      </c>
      <c r="E9" s="35">
        <f>D9-(AVERAGE(Emp[Salary]))</f>
        <v>-2404.990846153858</v>
      </c>
      <c r="F9" s="34">
        <f>_xlfn.MAXIFS(Emp[Salary], Emp[Department], B9)</f>
        <v>116767.63</v>
      </c>
      <c r="G9" s="34" cm="1">
        <f t="array" ref="G9">MEDIAN(_xlfn._xlws.FILTER(Emp[Salary], Emp[Department]=B9))</f>
        <v>69764.100000000006</v>
      </c>
      <c r="H9" s="34">
        <f>COUNTIFS(Emp[Department], B9, Emp[Salary], "&gt;100000")</f>
        <v>8</v>
      </c>
      <c r="I9" s="34">
        <f t="shared" si="0"/>
        <v>7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</row>
    <row r="10" spans="1:60" ht="30" customHeight="1" x14ac:dyDescent="0.7">
      <c r="A10" s="32"/>
      <c r="B10" s="34" t="str">
        <v>Finance</v>
      </c>
      <c r="C10" s="34">
        <f>COUNTIF(Emp[Department], B10)</f>
        <v>28</v>
      </c>
      <c r="D10" s="35">
        <f>AVERAGEIF(Emp[Department],B10, Emp[Salary])</f>
        <v>71573.952857142853</v>
      </c>
      <c r="E10" s="35">
        <f>D10-(AVERAGE(Emp[Salary]))</f>
        <v>-2006.1095274725376</v>
      </c>
      <c r="F10" s="34">
        <f>_xlfn.MAXIFS(Emp[Salary], Emp[Department], B10)</f>
        <v>114772.32</v>
      </c>
      <c r="G10" s="34" cm="1">
        <f t="array" ref="G10">MEDIAN(_xlfn._xlws.FILTER(Emp[Salary], Emp[Department]=B10))</f>
        <v>69400.614999999991</v>
      </c>
      <c r="H10" s="34">
        <f>COUNTIFS(Emp[Department], B10, Emp[Salary], "&gt;100000")</f>
        <v>4</v>
      </c>
      <c r="I10" s="34">
        <f t="shared" si="0"/>
        <v>6</v>
      </c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</row>
    <row r="11" spans="1:60" ht="30" customHeight="1" x14ac:dyDescent="0.7">
      <c r="A11" s="32"/>
      <c r="B11" s="34" t="str">
        <v>Sales</v>
      </c>
      <c r="C11" s="34">
        <f>COUNTIF(Emp[Department], B11)</f>
        <v>40</v>
      </c>
      <c r="D11" s="35">
        <f>AVERAGEIF(Emp[Department],B11, Emp[Salary])</f>
        <v>67619.076000000001</v>
      </c>
      <c r="E11" s="35">
        <f>D11-(AVERAGE(Emp[Salary]))</f>
        <v>-5960.9863846153894</v>
      </c>
      <c r="F11" s="34">
        <f>_xlfn.MAXIFS(Emp[Salary], Emp[Department], B11)</f>
        <v>114691.03</v>
      </c>
      <c r="G11" s="34" cm="1">
        <f t="array" ref="G11">MEDIAN(_xlfn._xlws.FILTER(Emp[Salary], Emp[Department]=B11))</f>
        <v>68469.209999999992</v>
      </c>
      <c r="H11" s="34">
        <f>COUNTIFS(Emp[Department], B11, Emp[Salary], "&gt;100000")</f>
        <v>4</v>
      </c>
      <c r="I11" s="34">
        <f t="shared" si="0"/>
        <v>8</v>
      </c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</row>
    <row r="12" spans="1:60" ht="30" customHeight="1" x14ac:dyDescent="0.85">
      <c r="A12" s="31"/>
      <c r="B12" s="34" t="str">
        <v>R&amp;D</v>
      </c>
      <c r="C12" s="34">
        <f>COUNTIF(Emp[Department], B12)</f>
        <v>27</v>
      </c>
      <c r="D12" s="35">
        <f>AVERAGEIF(Emp[Department],B12, Emp[Salary])</f>
        <v>75719.625555555584</v>
      </c>
      <c r="E12" s="35">
        <f>D12-(AVERAGE(Emp[Salary]))</f>
        <v>2139.5631709401932</v>
      </c>
      <c r="F12" s="34">
        <f>_xlfn.MAXIFS(Emp[Salary], Emp[Department], B12)</f>
        <v>114465.93</v>
      </c>
      <c r="G12" s="34" cm="1">
        <f t="array" ref="G12">MEDIAN(_xlfn._xlws.FILTER(Emp[Salary], Emp[Department]=B12))</f>
        <v>80695.740000000005</v>
      </c>
      <c r="H12" s="34">
        <f>COUNTIFS(Emp[Department], B12, Emp[Salary], "&gt;100000")</f>
        <v>3</v>
      </c>
      <c r="I12" s="34">
        <f t="shared" si="0"/>
        <v>3</v>
      </c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</row>
    <row r="13" spans="1:60" ht="30" customHeight="1" x14ac:dyDescent="0.85">
      <c r="A13" s="31"/>
      <c r="B13" s="34" t="str">
        <v>HR</v>
      </c>
      <c r="C13" s="34">
        <f>COUNTIF(Emp[Department], B13)</f>
        <v>31</v>
      </c>
      <c r="D13" s="35">
        <f>AVERAGEIF(Emp[Department],B13, Emp[Salary])</f>
        <v>73945.936774193513</v>
      </c>
      <c r="E13" s="35">
        <f>D13-(AVERAGE(Emp[Salary]))</f>
        <v>365.87438957812265</v>
      </c>
      <c r="F13" s="34">
        <f>_xlfn.MAXIFS(Emp[Salary], Emp[Department], B13)</f>
        <v>114425.19</v>
      </c>
      <c r="G13" s="34" cm="1">
        <f t="array" ref="G13">MEDIAN(_xlfn._xlws.FILTER(Emp[Salary], Emp[Department]=B13))</f>
        <v>71371.37</v>
      </c>
      <c r="H13" s="34">
        <f>COUNTIFS(Emp[Department], B13, Emp[Salary], "&gt;100000")</f>
        <v>6</v>
      </c>
      <c r="I13" s="34">
        <f t="shared" si="0"/>
        <v>4</v>
      </c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</row>
    <row r="14" spans="1:60" ht="24" x14ac:dyDescent="0.85">
      <c r="A14" s="31"/>
      <c r="B14" s="31"/>
      <c r="C14" s="31">
        <f>SUM(C6:C13)</f>
        <v>260</v>
      </c>
      <c r="D14" s="31"/>
      <c r="E14" s="31"/>
      <c r="F14" s="31"/>
      <c r="G14" s="31"/>
      <c r="H14" s="31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1:60" ht="24" x14ac:dyDescent="0.85">
      <c r="A15" s="31"/>
      <c r="B15" s="31"/>
      <c r="C15" s="31"/>
      <c r="D15" s="31"/>
      <c r="E15" s="31"/>
      <c r="F15" s="31"/>
      <c r="G15" s="31"/>
      <c r="H15" s="31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1:60" ht="24" x14ac:dyDescent="0.85">
      <c r="A16" s="31"/>
      <c r="B16" s="31"/>
      <c r="C16" s="31"/>
      <c r="D16" s="31"/>
      <c r="E16" s="31"/>
      <c r="F16" s="31"/>
      <c r="G16" s="31"/>
      <c r="H16" s="31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</row>
    <row r="17" spans="1:24" ht="24" x14ac:dyDescent="0.85">
      <c r="A17" s="31"/>
      <c r="B17" s="31"/>
      <c r="C17" s="31"/>
      <c r="D17" s="31"/>
      <c r="E17" s="31"/>
      <c r="F17" s="31"/>
      <c r="G17" s="31"/>
      <c r="H17" s="31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</row>
    <row r="18" spans="1:24" x14ac:dyDescent="0.7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</row>
    <row r="19" spans="1:24" x14ac:dyDescent="0.7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</row>
    <row r="20" spans="1:24" x14ac:dyDescent="0.7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</row>
    <row r="21" spans="1:24" x14ac:dyDescent="0.7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</row>
    <row r="22" spans="1:24" x14ac:dyDescent="0.7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</row>
    <row r="23" spans="1:24" x14ac:dyDescent="0.7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</row>
    <row r="24" spans="1:24" x14ac:dyDescent="0.7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</row>
    <row r="25" spans="1:24" x14ac:dyDescent="0.7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</row>
  </sheetData>
  <mergeCells count="1">
    <mergeCell ref="B3:I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FE578-46B1-41A7-ABDB-61F661076EED}">
  <dimension ref="A1:K17"/>
  <sheetViews>
    <sheetView workbookViewId="0">
      <selection activeCell="G17" sqref="G17"/>
    </sheetView>
  </sheetViews>
  <sheetFormatPr defaultRowHeight="20.399999999999999" x14ac:dyDescent="0.7"/>
  <cols>
    <col min="1" max="1" width="22.21875" style="41" bestFit="1" customWidth="1"/>
    <col min="2" max="2" width="16.33203125" style="41" customWidth="1"/>
    <col min="3" max="3" width="18.77734375" style="41" customWidth="1"/>
    <col min="4" max="4" width="16.77734375" style="41" customWidth="1"/>
    <col min="5" max="5" width="20.44140625" style="41" customWidth="1"/>
    <col min="6" max="6" width="19.109375" style="41" customWidth="1"/>
    <col min="7" max="7" width="18.109375" style="41" customWidth="1"/>
    <col min="8" max="8" width="14.44140625" style="41" customWidth="1"/>
    <col min="9" max="9" width="18" style="41" customWidth="1"/>
    <col min="10" max="10" width="15.88671875" style="41" customWidth="1"/>
    <col min="11" max="11" width="19.77734375" style="41" customWidth="1"/>
    <col min="12" max="16384" width="8.88671875" style="41"/>
  </cols>
  <sheetData>
    <row r="1" spans="1:11" x14ac:dyDescent="0.7">
      <c r="A1" s="80" t="s">
        <v>1560</v>
      </c>
      <c r="B1" s="39" t="s">
        <v>1567</v>
      </c>
      <c r="C1" s="39" t="s">
        <v>1561</v>
      </c>
      <c r="D1" s="39" t="s">
        <v>1571</v>
      </c>
      <c r="E1" s="39" t="s">
        <v>1572</v>
      </c>
      <c r="F1" s="39" t="s">
        <v>1569</v>
      </c>
      <c r="G1" s="40"/>
      <c r="H1" s="40"/>
      <c r="I1" s="40"/>
      <c r="J1" s="40"/>
      <c r="K1" s="40"/>
    </row>
    <row r="2" spans="1:11" x14ac:dyDescent="0.7">
      <c r="A2" s="80"/>
      <c r="B2" s="42" t="s">
        <v>1568</v>
      </c>
      <c r="C2" s="42" t="s">
        <v>1570</v>
      </c>
      <c r="D2" s="43"/>
      <c r="E2" s="42"/>
      <c r="F2" s="42" t="s">
        <v>1568</v>
      </c>
      <c r="G2" s="56" t="s">
        <v>32</v>
      </c>
      <c r="H2" s="40"/>
      <c r="I2" s="40"/>
      <c r="J2" s="40"/>
      <c r="K2" s="40"/>
    </row>
    <row r="3" spans="1:11" x14ac:dyDescent="0.7">
      <c r="A3" s="55" t="s">
        <v>32</v>
      </c>
      <c r="B3" s="52"/>
      <c r="C3" s="52" t="str">
        <f>_xlfn.XLOOKUP(A3,Emp[Emp ID],Emp[Work location], "Invalid Emp ID")</f>
        <v>Tokyo, Japan</v>
      </c>
      <c r="D3" s="52">
        <f>MATCH(A3, Emp[Emp ID],0)</f>
        <v>2</v>
      </c>
      <c r="E3" s="52" t="str" cm="1">
        <f t="array" ref="E3">INDEX(Emp[Department],D3)</f>
        <v>Marketing</v>
      </c>
      <c r="F3" s="52" t="str">
        <f>HLOOKUP(G2,HLOOK[],2,FALSE)</f>
        <v>Laura</v>
      </c>
      <c r="G3" s="40"/>
      <c r="H3" s="40"/>
      <c r="I3" s="40"/>
      <c r="J3" s="40"/>
      <c r="K3" s="40"/>
    </row>
    <row r="4" spans="1:11" x14ac:dyDescent="0.7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</row>
    <row r="6" spans="1:11" x14ac:dyDescent="0.7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</row>
    <row r="7" spans="1:11" hidden="1" x14ac:dyDescent="0.7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</row>
    <row r="8" spans="1:11" ht="23.4" customHeight="1" x14ac:dyDescent="0.7">
      <c r="A8" s="81" t="s">
        <v>1573</v>
      </c>
      <c r="B8" s="81"/>
      <c r="C8" s="81"/>
      <c r="D8" s="81"/>
      <c r="E8" s="81"/>
      <c r="F8" s="81"/>
      <c r="G8" s="81"/>
      <c r="H8" s="81"/>
      <c r="I8" s="81"/>
      <c r="J8" s="81"/>
      <c r="K8" s="81"/>
    </row>
    <row r="9" spans="1:11" x14ac:dyDescent="0.7">
      <c r="A9" s="44" t="s">
        <v>9</v>
      </c>
      <c r="B9" s="44" t="s">
        <v>1004</v>
      </c>
      <c r="C9" s="44" t="s">
        <v>1005</v>
      </c>
      <c r="D9" s="44" t="s">
        <v>10</v>
      </c>
      <c r="E9" s="44" t="s">
        <v>11</v>
      </c>
      <c r="F9" s="45" t="s">
        <v>12</v>
      </c>
      <c r="G9" s="44" t="s">
        <v>13</v>
      </c>
      <c r="H9" s="44" t="s">
        <v>14</v>
      </c>
      <c r="I9" s="44" t="s">
        <v>15</v>
      </c>
      <c r="J9" s="44" t="s">
        <v>16</v>
      </c>
      <c r="K9" s="44" t="s">
        <v>17</v>
      </c>
    </row>
    <row r="10" spans="1:11" x14ac:dyDescent="0.7">
      <c r="A10" s="53" t="str" cm="1">
        <f t="array" ref="A10:K10">_xlfn.XLOOKUP(A3,Emp[Emp ID], Emp[], "Invalid Emp ID")</f>
        <v>LE46327</v>
      </c>
      <c r="B10" s="53" t="str">
        <v>Laura</v>
      </c>
      <c r="C10" s="53" t="str">
        <v>Lawrence</v>
      </c>
      <c r="D10" s="53" t="str">
        <v>Male</v>
      </c>
      <c r="E10" s="53" t="str">
        <v>Marketing</v>
      </c>
      <c r="F10" s="53">
        <v>120000</v>
      </c>
      <c r="G10" s="53">
        <v>43902</v>
      </c>
      <c r="H10" s="53">
        <v>0.9</v>
      </c>
      <c r="I10" s="53" t="str">
        <v>Permanent</v>
      </c>
      <c r="J10" s="53" t="str">
        <v>Tokyo, Japan</v>
      </c>
      <c r="K10" s="53" t="str">
        <v>5704202367</v>
      </c>
    </row>
    <row r="14" spans="1:11" ht="34.799999999999997" x14ac:dyDescent="0.7">
      <c r="A14" s="84" t="s">
        <v>1563</v>
      </c>
      <c r="B14" s="85"/>
      <c r="F14" s="86" t="s">
        <v>8</v>
      </c>
      <c r="G14" s="86"/>
    </row>
    <row r="15" spans="1:11" x14ac:dyDescent="0.7">
      <c r="A15" s="46" t="s">
        <v>1562</v>
      </c>
      <c r="B15" s="47" t="str" cm="1">
        <f t="array" ref="B15">_xlfn.XLOOKUP(TRUE, Emp[Salary]&gt;=120000, Emp[Emp ID])</f>
        <v>XW68029</v>
      </c>
      <c r="C15" s="40"/>
      <c r="D15" s="40"/>
      <c r="F15" s="46" t="s">
        <v>1565</v>
      </c>
      <c r="G15" s="47" t="str" cm="1">
        <f t="array" ref="G15">_xlfn.XLOOKUP(MAX(Emp[Salary]), Emp[Salary], Emp[Fname]&amp;" "&amp; Emp[LName])</f>
        <v>Michael Davis</v>
      </c>
    </row>
    <row r="16" spans="1:11" ht="40.799999999999997" x14ac:dyDescent="0.7">
      <c r="A16" s="82" t="s">
        <v>1564</v>
      </c>
      <c r="B16" s="48" t="str" cm="1">
        <f t="array" ref="B16:B17">_xlfn._xlws.FILTER(Emp[Emp ID], Emp[Salary] &gt;=120000)</f>
        <v>XW68029</v>
      </c>
      <c r="C16" s="40"/>
      <c r="D16" s="40"/>
      <c r="F16" s="50" t="s">
        <v>1566</v>
      </c>
      <c r="G16" s="51" t="str" cm="1">
        <f t="array" ref="G16">_xlfn.TEXTJOIN(" , ",TRUE, _xlfn._xlws.FILTER(Emp[Fname]&amp;" "&amp;Emp[LName],Emp[Salary]=MAX(Emp[Salary])))</f>
        <v>Michael Davis , Laura Lawrence</v>
      </c>
    </row>
    <row r="17" spans="1:4" ht="17.399999999999999" customHeight="1" x14ac:dyDescent="0.7">
      <c r="A17" s="83"/>
      <c r="B17" s="49" t="str">
        <v>LE46327</v>
      </c>
      <c r="C17" s="40"/>
      <c r="D17" s="40"/>
    </row>
  </sheetData>
  <mergeCells count="5">
    <mergeCell ref="A1:A2"/>
    <mergeCell ref="A8:K8"/>
    <mergeCell ref="A16:A17"/>
    <mergeCell ref="A14:B14"/>
    <mergeCell ref="F14:G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40A24-7473-4325-9C66-38CC2EBA33B3}">
  <dimension ref="A1:G1001"/>
  <sheetViews>
    <sheetView workbookViewId="0">
      <selection activeCell="E32" sqref="E32"/>
    </sheetView>
  </sheetViews>
  <sheetFormatPr defaultRowHeight="14.4" x14ac:dyDescent="0.3"/>
  <cols>
    <col min="1" max="1" width="12.109375" style="58" bestFit="1" customWidth="1"/>
    <col min="2" max="2" width="11.21875" style="58" bestFit="1" customWidth="1"/>
    <col min="3" max="3" width="13.77734375" style="58" bestFit="1" customWidth="1"/>
    <col min="4" max="4" width="11.21875" style="58" bestFit="1" customWidth="1"/>
    <col min="5" max="5" width="12.77734375" style="58" bestFit="1" customWidth="1"/>
    <col min="6" max="6" width="9.5546875" style="58" bestFit="1" customWidth="1"/>
    <col min="7" max="7" width="9.6640625" style="58" bestFit="1" customWidth="1"/>
    <col min="8" max="16384" width="8.88671875" style="58"/>
  </cols>
  <sheetData>
    <row r="1" spans="1:7" x14ac:dyDescent="0.3">
      <c r="A1" s="57" t="s">
        <v>1611</v>
      </c>
      <c r="B1" s="57" t="s">
        <v>1610</v>
      </c>
      <c r="C1" s="57" t="s">
        <v>1609</v>
      </c>
      <c r="D1" s="57" t="s">
        <v>1608</v>
      </c>
      <c r="E1" s="57" t="s">
        <v>1607</v>
      </c>
      <c r="F1" s="57" t="s">
        <v>1134</v>
      </c>
      <c r="G1" s="57" t="s">
        <v>39</v>
      </c>
    </row>
    <row r="2" spans="1:7" x14ac:dyDescent="0.3">
      <c r="A2" s="58" t="s">
        <v>1590</v>
      </c>
      <c r="B2" s="58" t="s">
        <v>1589</v>
      </c>
      <c r="C2" s="58" t="s">
        <v>1596</v>
      </c>
      <c r="D2" s="58" t="s">
        <v>1600</v>
      </c>
      <c r="E2" s="58">
        <v>10</v>
      </c>
      <c r="F2" s="58">
        <v>23149</v>
      </c>
      <c r="G2" s="58">
        <v>231490</v>
      </c>
    </row>
    <row r="3" spans="1:7" x14ac:dyDescent="0.3">
      <c r="A3" s="58" t="s">
        <v>1604</v>
      </c>
      <c r="B3" s="58" t="s">
        <v>1605</v>
      </c>
      <c r="C3" s="58" t="s">
        <v>1588</v>
      </c>
      <c r="D3" s="58" t="s">
        <v>1598</v>
      </c>
      <c r="E3" s="58">
        <v>3</v>
      </c>
      <c r="F3" s="58">
        <v>2893</v>
      </c>
      <c r="G3" s="58">
        <v>8679</v>
      </c>
    </row>
    <row r="4" spans="1:7" x14ac:dyDescent="0.3">
      <c r="A4" s="58" t="s">
        <v>1593</v>
      </c>
      <c r="B4" s="58" t="s">
        <v>1599</v>
      </c>
      <c r="C4" s="58" t="s">
        <v>1595</v>
      </c>
      <c r="D4" s="58" t="s">
        <v>1594</v>
      </c>
      <c r="E4" s="58">
        <v>10</v>
      </c>
      <c r="F4" s="58">
        <v>8806</v>
      </c>
      <c r="G4" s="58">
        <v>88060</v>
      </c>
    </row>
    <row r="5" spans="1:7" x14ac:dyDescent="0.3">
      <c r="A5" s="58" t="s">
        <v>1604</v>
      </c>
      <c r="B5" s="58" t="s">
        <v>1605</v>
      </c>
      <c r="C5" s="58" t="s">
        <v>1595</v>
      </c>
      <c r="D5" s="58" t="s">
        <v>1606</v>
      </c>
      <c r="E5" s="58">
        <v>6</v>
      </c>
      <c r="F5" s="58">
        <v>10978</v>
      </c>
      <c r="G5" s="58">
        <v>65868</v>
      </c>
    </row>
    <row r="6" spans="1:7" x14ac:dyDescent="0.3">
      <c r="A6" s="58" t="s">
        <v>1590</v>
      </c>
      <c r="B6" s="58" t="s">
        <v>1589</v>
      </c>
      <c r="C6" s="58" t="s">
        <v>1603</v>
      </c>
      <c r="D6" s="58" t="s">
        <v>1591</v>
      </c>
      <c r="E6" s="58">
        <v>5</v>
      </c>
      <c r="F6" s="58">
        <v>8777</v>
      </c>
      <c r="G6" s="58">
        <v>43885</v>
      </c>
    </row>
    <row r="7" spans="1:7" x14ac:dyDescent="0.3">
      <c r="A7" s="58" t="s">
        <v>1602</v>
      </c>
      <c r="B7" s="58" t="s">
        <v>1599</v>
      </c>
      <c r="C7" s="58" t="s">
        <v>1592</v>
      </c>
      <c r="D7" s="58" t="s">
        <v>1598</v>
      </c>
      <c r="E7" s="58">
        <v>5</v>
      </c>
      <c r="F7" s="58">
        <v>14359</v>
      </c>
      <c r="G7" s="58">
        <v>71795</v>
      </c>
    </row>
    <row r="8" spans="1:7" x14ac:dyDescent="0.3">
      <c r="A8" s="58" t="s">
        <v>1602</v>
      </c>
      <c r="B8" s="58" t="s">
        <v>1605</v>
      </c>
      <c r="C8" s="58" t="s">
        <v>1588</v>
      </c>
      <c r="D8" s="58" t="s">
        <v>1600</v>
      </c>
      <c r="E8" s="58">
        <v>9</v>
      </c>
      <c r="F8" s="58">
        <v>15337</v>
      </c>
      <c r="G8" s="58">
        <v>138033</v>
      </c>
    </row>
    <row r="9" spans="1:7" x14ac:dyDescent="0.3">
      <c r="A9" s="58" t="s">
        <v>1602</v>
      </c>
      <c r="B9" s="58" t="s">
        <v>1605</v>
      </c>
      <c r="C9" s="58" t="s">
        <v>1595</v>
      </c>
      <c r="D9" s="58" t="s">
        <v>1587</v>
      </c>
      <c r="E9" s="58">
        <v>8</v>
      </c>
      <c r="F9" s="58">
        <v>14135</v>
      </c>
      <c r="G9" s="58">
        <v>113080</v>
      </c>
    </row>
    <row r="10" spans="1:7" x14ac:dyDescent="0.3">
      <c r="A10" s="58" t="s">
        <v>1601</v>
      </c>
      <c r="B10" s="58" t="s">
        <v>1599</v>
      </c>
      <c r="C10" s="58" t="s">
        <v>1603</v>
      </c>
      <c r="D10" s="58" t="s">
        <v>1598</v>
      </c>
      <c r="E10" s="58">
        <v>4</v>
      </c>
      <c r="F10" s="58">
        <v>29761</v>
      </c>
      <c r="G10" s="58">
        <v>119044</v>
      </c>
    </row>
    <row r="11" spans="1:7" x14ac:dyDescent="0.3">
      <c r="A11" s="58" t="s">
        <v>1604</v>
      </c>
      <c r="B11" s="58" t="s">
        <v>1605</v>
      </c>
      <c r="C11" s="58" t="s">
        <v>1596</v>
      </c>
      <c r="D11" s="58" t="s">
        <v>1600</v>
      </c>
      <c r="E11" s="58">
        <v>6</v>
      </c>
      <c r="F11" s="58">
        <v>3667</v>
      </c>
      <c r="G11" s="58">
        <v>22002</v>
      </c>
    </row>
    <row r="12" spans="1:7" x14ac:dyDescent="0.3">
      <c r="A12" s="58" t="s">
        <v>1593</v>
      </c>
      <c r="B12" s="58" t="s">
        <v>1599</v>
      </c>
      <c r="C12" s="58" t="s">
        <v>1596</v>
      </c>
      <c r="D12" s="58" t="s">
        <v>1606</v>
      </c>
      <c r="E12" s="58">
        <v>7</v>
      </c>
      <c r="F12" s="58">
        <v>20079</v>
      </c>
      <c r="G12" s="58">
        <v>140553</v>
      </c>
    </row>
    <row r="13" spans="1:7" x14ac:dyDescent="0.3">
      <c r="A13" s="58" t="s">
        <v>1590</v>
      </c>
      <c r="B13" s="58" t="s">
        <v>1589</v>
      </c>
      <c r="C13" s="58" t="s">
        <v>1588</v>
      </c>
      <c r="D13" s="58" t="s">
        <v>1591</v>
      </c>
      <c r="E13" s="58">
        <v>4</v>
      </c>
      <c r="F13" s="58">
        <v>10486</v>
      </c>
      <c r="G13" s="58">
        <v>41944</v>
      </c>
    </row>
    <row r="14" spans="1:7" x14ac:dyDescent="0.3">
      <c r="A14" s="58" t="s">
        <v>1604</v>
      </c>
      <c r="B14" s="58" t="s">
        <v>1589</v>
      </c>
      <c r="C14" s="58" t="s">
        <v>1603</v>
      </c>
      <c r="D14" s="58" t="s">
        <v>1594</v>
      </c>
      <c r="E14" s="58">
        <v>5</v>
      </c>
      <c r="F14" s="58">
        <v>5389</v>
      </c>
      <c r="G14" s="58">
        <v>26945</v>
      </c>
    </row>
    <row r="15" spans="1:7" x14ac:dyDescent="0.3">
      <c r="A15" s="58" t="s">
        <v>1590</v>
      </c>
      <c r="B15" s="58" t="s">
        <v>1599</v>
      </c>
      <c r="C15" s="58" t="s">
        <v>1595</v>
      </c>
      <c r="D15" s="58" t="s">
        <v>1600</v>
      </c>
      <c r="E15" s="58">
        <v>8</v>
      </c>
      <c r="F15" s="58">
        <v>24111</v>
      </c>
      <c r="G15" s="58">
        <v>192888</v>
      </c>
    </row>
    <row r="16" spans="1:7" x14ac:dyDescent="0.3">
      <c r="A16" s="58" t="s">
        <v>1604</v>
      </c>
      <c r="B16" s="58" t="s">
        <v>1589</v>
      </c>
      <c r="C16" s="58" t="s">
        <v>1592</v>
      </c>
      <c r="D16" s="58" t="s">
        <v>1594</v>
      </c>
      <c r="E16" s="58">
        <v>5</v>
      </c>
      <c r="F16" s="58">
        <v>23359</v>
      </c>
      <c r="G16" s="58">
        <v>116795</v>
      </c>
    </row>
    <row r="17" spans="1:7" x14ac:dyDescent="0.3">
      <c r="A17" s="58" t="s">
        <v>1604</v>
      </c>
      <c r="B17" s="58" t="s">
        <v>1589</v>
      </c>
      <c r="C17" s="58" t="s">
        <v>1596</v>
      </c>
      <c r="D17" s="58" t="s">
        <v>1594</v>
      </c>
      <c r="E17" s="58">
        <v>6</v>
      </c>
      <c r="F17" s="58">
        <v>11655</v>
      </c>
      <c r="G17" s="58">
        <v>69930</v>
      </c>
    </row>
    <row r="18" spans="1:7" x14ac:dyDescent="0.3">
      <c r="A18" s="58" t="s">
        <v>1601</v>
      </c>
      <c r="B18" s="58" t="s">
        <v>1599</v>
      </c>
      <c r="C18" s="58" t="s">
        <v>1592</v>
      </c>
      <c r="D18" s="58" t="s">
        <v>1600</v>
      </c>
      <c r="E18" s="58">
        <v>3</v>
      </c>
      <c r="F18" s="58">
        <v>1967</v>
      </c>
      <c r="G18" s="58">
        <v>5901</v>
      </c>
    </row>
    <row r="19" spans="1:7" x14ac:dyDescent="0.3">
      <c r="A19" s="58" t="s">
        <v>1590</v>
      </c>
      <c r="B19" s="58" t="s">
        <v>1599</v>
      </c>
      <c r="C19" s="58" t="s">
        <v>1596</v>
      </c>
      <c r="D19" s="58" t="s">
        <v>1587</v>
      </c>
      <c r="E19" s="58">
        <v>9</v>
      </c>
      <c r="F19" s="58">
        <v>29101</v>
      </c>
      <c r="G19" s="58">
        <v>261909</v>
      </c>
    </row>
    <row r="20" spans="1:7" x14ac:dyDescent="0.3">
      <c r="A20" s="58" t="s">
        <v>1602</v>
      </c>
      <c r="B20" s="58" t="s">
        <v>1605</v>
      </c>
      <c r="C20" s="58" t="s">
        <v>1596</v>
      </c>
      <c r="D20" s="58" t="s">
        <v>1606</v>
      </c>
      <c r="E20" s="58">
        <v>9</v>
      </c>
      <c r="F20" s="58">
        <v>21105</v>
      </c>
      <c r="G20" s="58">
        <v>189945</v>
      </c>
    </row>
    <row r="21" spans="1:7" x14ac:dyDescent="0.3">
      <c r="A21" s="58" t="s">
        <v>1604</v>
      </c>
      <c r="B21" s="58" t="s">
        <v>1597</v>
      </c>
      <c r="C21" s="58" t="s">
        <v>1592</v>
      </c>
      <c r="D21" s="58" t="s">
        <v>1591</v>
      </c>
      <c r="E21" s="58">
        <v>7</v>
      </c>
      <c r="F21" s="58">
        <v>19628</v>
      </c>
      <c r="G21" s="58">
        <v>137396</v>
      </c>
    </row>
    <row r="22" spans="1:7" x14ac:dyDescent="0.3">
      <c r="A22" s="58" t="s">
        <v>1604</v>
      </c>
      <c r="B22" s="58" t="s">
        <v>1605</v>
      </c>
      <c r="C22" s="58" t="s">
        <v>1595</v>
      </c>
      <c r="D22" s="58" t="s">
        <v>1594</v>
      </c>
      <c r="E22" s="58">
        <v>10</v>
      </c>
      <c r="F22" s="58">
        <v>19849</v>
      </c>
      <c r="G22" s="58">
        <v>198490</v>
      </c>
    </row>
    <row r="23" spans="1:7" x14ac:dyDescent="0.3">
      <c r="A23" s="58" t="s">
        <v>1593</v>
      </c>
      <c r="B23" s="58" t="s">
        <v>1597</v>
      </c>
      <c r="C23" s="58" t="s">
        <v>1588</v>
      </c>
      <c r="D23" s="58" t="s">
        <v>1606</v>
      </c>
      <c r="E23" s="58">
        <v>7</v>
      </c>
      <c r="F23" s="58">
        <v>11668</v>
      </c>
      <c r="G23" s="58">
        <v>81676</v>
      </c>
    </row>
    <row r="24" spans="1:7" x14ac:dyDescent="0.3">
      <c r="A24" s="58" t="s">
        <v>1602</v>
      </c>
      <c r="B24" s="58" t="s">
        <v>1589</v>
      </c>
      <c r="C24" s="58" t="s">
        <v>1603</v>
      </c>
      <c r="D24" s="58" t="s">
        <v>1606</v>
      </c>
      <c r="E24" s="58">
        <v>1</v>
      </c>
      <c r="F24" s="58">
        <v>17697</v>
      </c>
      <c r="G24" s="58">
        <v>17697</v>
      </c>
    </row>
    <row r="25" spans="1:7" x14ac:dyDescent="0.3">
      <c r="A25" s="58" t="s">
        <v>1602</v>
      </c>
      <c r="B25" s="58" t="s">
        <v>1589</v>
      </c>
      <c r="C25" s="58" t="s">
        <v>1596</v>
      </c>
      <c r="D25" s="58" t="s">
        <v>1591</v>
      </c>
      <c r="E25" s="58">
        <v>4</v>
      </c>
      <c r="F25" s="58">
        <v>1083</v>
      </c>
      <c r="G25" s="58">
        <v>4332</v>
      </c>
    </row>
    <row r="26" spans="1:7" x14ac:dyDescent="0.3">
      <c r="A26" s="58" t="s">
        <v>1590</v>
      </c>
      <c r="B26" s="58" t="s">
        <v>1599</v>
      </c>
      <c r="C26" s="58" t="s">
        <v>1603</v>
      </c>
      <c r="D26" s="58" t="s">
        <v>1598</v>
      </c>
      <c r="E26" s="58">
        <v>5</v>
      </c>
      <c r="F26" s="58">
        <v>8994</v>
      </c>
      <c r="G26" s="58">
        <v>44970</v>
      </c>
    </row>
    <row r="27" spans="1:7" x14ac:dyDescent="0.3">
      <c r="A27" s="58" t="s">
        <v>1590</v>
      </c>
      <c r="B27" s="58" t="s">
        <v>1589</v>
      </c>
      <c r="C27" s="58" t="s">
        <v>1588</v>
      </c>
      <c r="D27" s="58" t="s">
        <v>1594</v>
      </c>
      <c r="E27" s="58">
        <v>7</v>
      </c>
      <c r="F27" s="58">
        <v>21294</v>
      </c>
      <c r="G27" s="58">
        <v>149058</v>
      </c>
    </row>
    <row r="28" spans="1:7" x14ac:dyDescent="0.3">
      <c r="A28" s="58" t="s">
        <v>1601</v>
      </c>
      <c r="B28" s="58" t="s">
        <v>1597</v>
      </c>
      <c r="C28" s="58" t="s">
        <v>1603</v>
      </c>
      <c r="D28" s="58" t="s">
        <v>1606</v>
      </c>
      <c r="E28" s="58">
        <v>3</v>
      </c>
      <c r="F28" s="58">
        <v>29088</v>
      </c>
      <c r="G28" s="58">
        <v>87264</v>
      </c>
    </row>
    <row r="29" spans="1:7" x14ac:dyDescent="0.3">
      <c r="A29" s="58" t="s">
        <v>1602</v>
      </c>
      <c r="B29" s="58" t="s">
        <v>1599</v>
      </c>
      <c r="C29" s="58" t="s">
        <v>1592</v>
      </c>
      <c r="D29" s="58" t="s">
        <v>1606</v>
      </c>
      <c r="E29" s="58">
        <v>2</v>
      </c>
      <c r="F29" s="58">
        <v>11447</v>
      </c>
      <c r="G29" s="58">
        <v>22894</v>
      </c>
    </row>
    <row r="30" spans="1:7" x14ac:dyDescent="0.3">
      <c r="A30" s="58" t="s">
        <v>1590</v>
      </c>
      <c r="B30" s="58" t="s">
        <v>1589</v>
      </c>
      <c r="C30" s="58" t="s">
        <v>1595</v>
      </c>
      <c r="D30" s="58" t="s">
        <v>1591</v>
      </c>
      <c r="E30" s="58">
        <v>8</v>
      </c>
      <c r="F30" s="58">
        <v>3418</v>
      </c>
      <c r="G30" s="58">
        <v>27344</v>
      </c>
    </row>
    <row r="31" spans="1:7" x14ac:dyDescent="0.3">
      <c r="A31" s="58" t="s">
        <v>1604</v>
      </c>
      <c r="B31" s="58" t="s">
        <v>1589</v>
      </c>
      <c r="C31" s="58" t="s">
        <v>1588</v>
      </c>
      <c r="D31" s="58" t="s">
        <v>1594</v>
      </c>
      <c r="E31" s="58">
        <v>8</v>
      </c>
      <c r="F31" s="58">
        <v>9633</v>
      </c>
      <c r="G31" s="58">
        <v>77064</v>
      </c>
    </row>
    <row r="32" spans="1:7" x14ac:dyDescent="0.3">
      <c r="A32" s="58" t="s">
        <v>1590</v>
      </c>
      <c r="B32" s="58" t="s">
        <v>1599</v>
      </c>
      <c r="C32" s="58" t="s">
        <v>1592</v>
      </c>
      <c r="D32" s="58" t="s">
        <v>1594</v>
      </c>
      <c r="E32" s="58">
        <v>9</v>
      </c>
      <c r="F32" s="58">
        <v>27221</v>
      </c>
      <c r="G32" s="58">
        <v>244989</v>
      </c>
    </row>
    <row r="33" spans="1:7" x14ac:dyDescent="0.3">
      <c r="A33" s="58" t="s">
        <v>1604</v>
      </c>
      <c r="B33" s="58" t="s">
        <v>1589</v>
      </c>
      <c r="C33" s="58" t="s">
        <v>1603</v>
      </c>
      <c r="D33" s="58" t="s">
        <v>1606</v>
      </c>
      <c r="E33" s="58">
        <v>1</v>
      </c>
      <c r="F33" s="58">
        <v>20073</v>
      </c>
      <c r="G33" s="58">
        <v>20073</v>
      </c>
    </row>
    <row r="34" spans="1:7" x14ac:dyDescent="0.3">
      <c r="A34" s="58" t="s">
        <v>1601</v>
      </c>
      <c r="B34" s="58" t="s">
        <v>1589</v>
      </c>
      <c r="C34" s="58" t="s">
        <v>1603</v>
      </c>
      <c r="D34" s="58" t="s">
        <v>1591</v>
      </c>
      <c r="E34" s="58">
        <v>6</v>
      </c>
      <c r="F34" s="58">
        <v>12418</v>
      </c>
      <c r="G34" s="58">
        <v>74508</v>
      </c>
    </row>
    <row r="35" spans="1:7" x14ac:dyDescent="0.3">
      <c r="A35" s="58" t="s">
        <v>1601</v>
      </c>
      <c r="B35" s="58" t="s">
        <v>1599</v>
      </c>
      <c r="C35" s="58" t="s">
        <v>1596</v>
      </c>
      <c r="D35" s="58" t="s">
        <v>1594</v>
      </c>
      <c r="E35" s="58">
        <v>8</v>
      </c>
      <c r="F35" s="58">
        <v>14804</v>
      </c>
      <c r="G35" s="58">
        <v>118432</v>
      </c>
    </row>
    <row r="36" spans="1:7" x14ac:dyDescent="0.3">
      <c r="A36" s="58" t="s">
        <v>1601</v>
      </c>
      <c r="B36" s="58" t="s">
        <v>1599</v>
      </c>
      <c r="C36" s="58" t="s">
        <v>1588</v>
      </c>
      <c r="D36" s="58" t="s">
        <v>1598</v>
      </c>
      <c r="E36" s="58">
        <v>1</v>
      </c>
      <c r="F36" s="58">
        <v>14311</v>
      </c>
      <c r="G36" s="58">
        <v>14311</v>
      </c>
    </row>
    <row r="37" spans="1:7" x14ac:dyDescent="0.3">
      <c r="A37" s="58" t="s">
        <v>1590</v>
      </c>
      <c r="B37" s="58" t="s">
        <v>1605</v>
      </c>
      <c r="C37" s="58" t="s">
        <v>1588</v>
      </c>
      <c r="D37" s="58" t="s">
        <v>1587</v>
      </c>
      <c r="E37" s="58">
        <v>8</v>
      </c>
      <c r="F37" s="58">
        <v>17147</v>
      </c>
      <c r="G37" s="58">
        <v>137176</v>
      </c>
    </row>
    <row r="38" spans="1:7" x14ac:dyDescent="0.3">
      <c r="A38" s="58" t="s">
        <v>1602</v>
      </c>
      <c r="B38" s="58" t="s">
        <v>1599</v>
      </c>
      <c r="C38" s="58" t="s">
        <v>1588</v>
      </c>
      <c r="D38" s="58" t="s">
        <v>1587</v>
      </c>
      <c r="E38" s="58">
        <v>2</v>
      </c>
      <c r="F38" s="58">
        <v>26273</v>
      </c>
      <c r="G38" s="58">
        <v>52546</v>
      </c>
    </row>
    <row r="39" spans="1:7" x14ac:dyDescent="0.3">
      <c r="A39" s="58" t="s">
        <v>1604</v>
      </c>
      <c r="B39" s="58" t="s">
        <v>1597</v>
      </c>
      <c r="C39" s="58" t="s">
        <v>1603</v>
      </c>
      <c r="D39" s="58" t="s">
        <v>1598</v>
      </c>
      <c r="E39" s="58">
        <v>10</v>
      </c>
      <c r="F39" s="58">
        <v>7658</v>
      </c>
      <c r="G39" s="58">
        <v>76580</v>
      </c>
    </row>
    <row r="40" spans="1:7" x14ac:dyDescent="0.3">
      <c r="A40" s="58" t="s">
        <v>1593</v>
      </c>
      <c r="B40" s="58" t="s">
        <v>1605</v>
      </c>
      <c r="C40" s="58" t="s">
        <v>1603</v>
      </c>
      <c r="D40" s="58" t="s">
        <v>1606</v>
      </c>
      <c r="E40" s="58">
        <v>8</v>
      </c>
      <c r="F40" s="58">
        <v>15502</v>
      </c>
      <c r="G40" s="58">
        <v>124016</v>
      </c>
    </row>
    <row r="41" spans="1:7" x14ac:dyDescent="0.3">
      <c r="A41" s="58" t="s">
        <v>1604</v>
      </c>
      <c r="B41" s="58" t="s">
        <v>1597</v>
      </c>
      <c r="C41" s="58" t="s">
        <v>1596</v>
      </c>
      <c r="D41" s="58" t="s">
        <v>1594</v>
      </c>
      <c r="E41" s="58">
        <v>1</v>
      </c>
      <c r="F41" s="58">
        <v>14039</v>
      </c>
      <c r="G41" s="58">
        <v>14039</v>
      </c>
    </row>
    <row r="42" spans="1:7" x14ac:dyDescent="0.3">
      <c r="A42" s="58" t="s">
        <v>1604</v>
      </c>
      <c r="B42" s="58" t="s">
        <v>1597</v>
      </c>
      <c r="C42" s="58" t="s">
        <v>1592</v>
      </c>
      <c r="D42" s="58" t="s">
        <v>1600</v>
      </c>
      <c r="E42" s="58">
        <v>5</v>
      </c>
      <c r="F42" s="58">
        <v>27031</v>
      </c>
      <c r="G42" s="58">
        <v>135155</v>
      </c>
    </row>
    <row r="43" spans="1:7" x14ac:dyDescent="0.3">
      <c r="A43" s="58" t="s">
        <v>1590</v>
      </c>
      <c r="B43" s="58" t="s">
        <v>1599</v>
      </c>
      <c r="C43" s="58" t="s">
        <v>1595</v>
      </c>
      <c r="D43" s="58" t="s">
        <v>1587</v>
      </c>
      <c r="E43" s="58">
        <v>1</v>
      </c>
      <c r="F43" s="58">
        <v>24563</v>
      </c>
      <c r="G43" s="58">
        <v>24563</v>
      </c>
    </row>
    <row r="44" spans="1:7" x14ac:dyDescent="0.3">
      <c r="A44" s="58" t="s">
        <v>1593</v>
      </c>
      <c r="B44" s="58" t="s">
        <v>1605</v>
      </c>
      <c r="C44" s="58" t="s">
        <v>1603</v>
      </c>
      <c r="D44" s="58" t="s">
        <v>1594</v>
      </c>
      <c r="E44" s="58">
        <v>8</v>
      </c>
      <c r="F44" s="58">
        <v>27042</v>
      </c>
      <c r="G44" s="58">
        <v>216336</v>
      </c>
    </row>
    <row r="45" spans="1:7" x14ac:dyDescent="0.3">
      <c r="A45" s="58" t="s">
        <v>1604</v>
      </c>
      <c r="B45" s="58" t="s">
        <v>1589</v>
      </c>
      <c r="C45" s="58" t="s">
        <v>1596</v>
      </c>
      <c r="D45" s="58" t="s">
        <v>1606</v>
      </c>
      <c r="E45" s="58">
        <v>8</v>
      </c>
      <c r="F45" s="58">
        <v>10795</v>
      </c>
      <c r="G45" s="58">
        <v>86360</v>
      </c>
    </row>
    <row r="46" spans="1:7" x14ac:dyDescent="0.3">
      <c r="A46" s="58" t="s">
        <v>1593</v>
      </c>
      <c r="B46" s="58" t="s">
        <v>1589</v>
      </c>
      <c r="C46" s="58" t="s">
        <v>1603</v>
      </c>
      <c r="D46" s="58" t="s">
        <v>1594</v>
      </c>
      <c r="E46" s="58">
        <v>3</v>
      </c>
      <c r="F46" s="58">
        <v>9577</v>
      </c>
      <c r="G46" s="58">
        <v>28731</v>
      </c>
    </row>
    <row r="47" spans="1:7" x14ac:dyDescent="0.3">
      <c r="A47" s="58" t="s">
        <v>1593</v>
      </c>
      <c r="B47" s="58" t="s">
        <v>1589</v>
      </c>
      <c r="C47" s="58" t="s">
        <v>1596</v>
      </c>
      <c r="D47" s="58" t="s">
        <v>1606</v>
      </c>
      <c r="E47" s="58">
        <v>1</v>
      </c>
      <c r="F47" s="58">
        <v>23294</v>
      </c>
      <c r="G47" s="58">
        <v>23294</v>
      </c>
    </row>
    <row r="48" spans="1:7" x14ac:dyDescent="0.3">
      <c r="A48" s="58" t="s">
        <v>1593</v>
      </c>
      <c r="B48" s="58" t="s">
        <v>1589</v>
      </c>
      <c r="C48" s="58" t="s">
        <v>1588</v>
      </c>
      <c r="D48" s="58" t="s">
        <v>1600</v>
      </c>
      <c r="E48" s="58">
        <v>9</v>
      </c>
      <c r="F48" s="58">
        <v>11922</v>
      </c>
      <c r="G48" s="58">
        <v>107298</v>
      </c>
    </row>
    <row r="49" spans="1:7" x14ac:dyDescent="0.3">
      <c r="A49" s="58" t="s">
        <v>1602</v>
      </c>
      <c r="B49" s="58" t="s">
        <v>1599</v>
      </c>
      <c r="C49" s="58" t="s">
        <v>1592</v>
      </c>
      <c r="D49" s="58" t="s">
        <v>1606</v>
      </c>
      <c r="E49" s="58">
        <v>3</v>
      </c>
      <c r="F49" s="58">
        <v>13397</v>
      </c>
      <c r="G49" s="58">
        <v>40191</v>
      </c>
    </row>
    <row r="50" spans="1:7" x14ac:dyDescent="0.3">
      <c r="A50" s="58" t="s">
        <v>1602</v>
      </c>
      <c r="B50" s="58" t="s">
        <v>1599</v>
      </c>
      <c r="C50" s="58" t="s">
        <v>1603</v>
      </c>
      <c r="D50" s="58" t="s">
        <v>1598</v>
      </c>
      <c r="E50" s="58">
        <v>3</v>
      </c>
      <c r="F50" s="58">
        <v>5598</v>
      </c>
      <c r="G50" s="58">
        <v>16794</v>
      </c>
    </row>
    <row r="51" spans="1:7" x14ac:dyDescent="0.3">
      <c r="A51" s="58" t="s">
        <v>1590</v>
      </c>
      <c r="B51" s="58" t="s">
        <v>1599</v>
      </c>
      <c r="C51" s="58" t="s">
        <v>1588</v>
      </c>
      <c r="D51" s="58" t="s">
        <v>1591</v>
      </c>
      <c r="E51" s="58">
        <v>7</v>
      </c>
      <c r="F51" s="58">
        <v>11877</v>
      </c>
      <c r="G51" s="58">
        <v>83139</v>
      </c>
    </row>
    <row r="52" spans="1:7" x14ac:dyDescent="0.3">
      <c r="A52" s="58" t="s">
        <v>1602</v>
      </c>
      <c r="B52" s="58" t="s">
        <v>1597</v>
      </c>
      <c r="C52" s="58" t="s">
        <v>1592</v>
      </c>
      <c r="D52" s="58" t="s">
        <v>1606</v>
      </c>
      <c r="E52" s="58">
        <v>3</v>
      </c>
      <c r="F52" s="58">
        <v>23732</v>
      </c>
      <c r="G52" s="58">
        <v>71196</v>
      </c>
    </row>
    <row r="53" spans="1:7" x14ac:dyDescent="0.3">
      <c r="A53" s="58" t="s">
        <v>1604</v>
      </c>
      <c r="B53" s="58" t="s">
        <v>1597</v>
      </c>
      <c r="C53" s="58" t="s">
        <v>1595</v>
      </c>
      <c r="D53" s="58" t="s">
        <v>1606</v>
      </c>
      <c r="E53" s="58">
        <v>6</v>
      </c>
      <c r="F53" s="58">
        <v>15750</v>
      </c>
      <c r="G53" s="58">
        <v>94500</v>
      </c>
    </row>
    <row r="54" spans="1:7" x14ac:dyDescent="0.3">
      <c r="A54" s="58" t="s">
        <v>1601</v>
      </c>
      <c r="B54" s="58" t="s">
        <v>1599</v>
      </c>
      <c r="C54" s="58" t="s">
        <v>1603</v>
      </c>
      <c r="D54" s="58" t="s">
        <v>1587</v>
      </c>
      <c r="E54" s="58">
        <v>4</v>
      </c>
      <c r="F54" s="58">
        <v>14818</v>
      </c>
      <c r="G54" s="58">
        <v>59272</v>
      </c>
    </row>
    <row r="55" spans="1:7" x14ac:dyDescent="0.3">
      <c r="A55" s="58" t="s">
        <v>1604</v>
      </c>
      <c r="B55" s="58" t="s">
        <v>1589</v>
      </c>
      <c r="C55" s="58" t="s">
        <v>1595</v>
      </c>
      <c r="D55" s="58" t="s">
        <v>1587</v>
      </c>
      <c r="E55" s="58">
        <v>9</v>
      </c>
      <c r="F55" s="58">
        <v>20366</v>
      </c>
      <c r="G55" s="58">
        <v>183294</v>
      </c>
    </row>
    <row r="56" spans="1:7" x14ac:dyDescent="0.3">
      <c r="A56" s="58" t="s">
        <v>1601</v>
      </c>
      <c r="B56" s="58" t="s">
        <v>1597</v>
      </c>
      <c r="C56" s="58" t="s">
        <v>1596</v>
      </c>
      <c r="D56" s="58" t="s">
        <v>1587</v>
      </c>
      <c r="E56" s="58">
        <v>5</v>
      </c>
      <c r="F56" s="58">
        <v>6977</v>
      </c>
      <c r="G56" s="58">
        <v>34885</v>
      </c>
    </row>
    <row r="57" spans="1:7" x14ac:dyDescent="0.3">
      <c r="A57" s="58" t="s">
        <v>1604</v>
      </c>
      <c r="B57" s="58" t="s">
        <v>1589</v>
      </c>
      <c r="C57" s="58" t="s">
        <v>1603</v>
      </c>
      <c r="D57" s="58" t="s">
        <v>1598</v>
      </c>
      <c r="E57" s="58">
        <v>6</v>
      </c>
      <c r="F57" s="58">
        <v>16291</v>
      </c>
      <c r="G57" s="58">
        <v>97746</v>
      </c>
    </row>
    <row r="58" spans="1:7" x14ac:dyDescent="0.3">
      <c r="A58" s="58" t="s">
        <v>1593</v>
      </c>
      <c r="B58" s="58" t="s">
        <v>1597</v>
      </c>
      <c r="C58" s="58" t="s">
        <v>1595</v>
      </c>
      <c r="D58" s="58" t="s">
        <v>1598</v>
      </c>
      <c r="E58" s="58">
        <v>6</v>
      </c>
      <c r="F58" s="58">
        <v>18077</v>
      </c>
      <c r="G58" s="58">
        <v>108462</v>
      </c>
    </row>
    <row r="59" spans="1:7" x14ac:dyDescent="0.3">
      <c r="A59" s="58" t="s">
        <v>1590</v>
      </c>
      <c r="B59" s="58" t="s">
        <v>1605</v>
      </c>
      <c r="C59" s="58" t="s">
        <v>1596</v>
      </c>
      <c r="D59" s="58" t="s">
        <v>1587</v>
      </c>
      <c r="E59" s="58">
        <v>5</v>
      </c>
      <c r="F59" s="58">
        <v>29614</v>
      </c>
      <c r="G59" s="58">
        <v>148070</v>
      </c>
    </row>
    <row r="60" spans="1:7" x14ac:dyDescent="0.3">
      <c r="A60" s="58" t="s">
        <v>1590</v>
      </c>
      <c r="B60" s="58" t="s">
        <v>1599</v>
      </c>
      <c r="C60" s="58" t="s">
        <v>1588</v>
      </c>
      <c r="D60" s="58" t="s">
        <v>1600</v>
      </c>
      <c r="E60" s="58">
        <v>7</v>
      </c>
      <c r="F60" s="58">
        <v>21191</v>
      </c>
      <c r="G60" s="58">
        <v>148337</v>
      </c>
    </row>
    <row r="61" spans="1:7" x14ac:dyDescent="0.3">
      <c r="A61" s="58" t="s">
        <v>1601</v>
      </c>
      <c r="B61" s="58" t="s">
        <v>1597</v>
      </c>
      <c r="C61" s="58" t="s">
        <v>1595</v>
      </c>
      <c r="D61" s="58" t="s">
        <v>1587</v>
      </c>
      <c r="E61" s="58">
        <v>8</v>
      </c>
      <c r="F61" s="58">
        <v>13599</v>
      </c>
      <c r="G61" s="58">
        <v>108792</v>
      </c>
    </row>
    <row r="62" spans="1:7" x14ac:dyDescent="0.3">
      <c r="A62" s="58" t="s">
        <v>1604</v>
      </c>
      <c r="B62" s="58" t="s">
        <v>1597</v>
      </c>
      <c r="C62" s="58" t="s">
        <v>1588</v>
      </c>
      <c r="D62" s="58" t="s">
        <v>1598</v>
      </c>
      <c r="E62" s="58">
        <v>7</v>
      </c>
      <c r="F62" s="58">
        <v>10925</v>
      </c>
      <c r="G62" s="58">
        <v>76475</v>
      </c>
    </row>
    <row r="63" spans="1:7" x14ac:dyDescent="0.3">
      <c r="A63" s="58" t="s">
        <v>1590</v>
      </c>
      <c r="B63" s="58" t="s">
        <v>1605</v>
      </c>
      <c r="C63" s="58" t="s">
        <v>1592</v>
      </c>
      <c r="D63" s="58" t="s">
        <v>1606</v>
      </c>
      <c r="E63" s="58">
        <v>2</v>
      </c>
      <c r="F63" s="58">
        <v>13078</v>
      </c>
      <c r="G63" s="58">
        <v>26156</v>
      </c>
    </row>
    <row r="64" spans="1:7" x14ac:dyDescent="0.3">
      <c r="A64" s="58" t="s">
        <v>1601</v>
      </c>
      <c r="B64" s="58" t="s">
        <v>1597</v>
      </c>
      <c r="C64" s="58" t="s">
        <v>1595</v>
      </c>
      <c r="D64" s="58" t="s">
        <v>1587</v>
      </c>
      <c r="E64" s="58">
        <v>10</v>
      </c>
      <c r="F64" s="58">
        <v>25964</v>
      </c>
      <c r="G64" s="58">
        <v>259640</v>
      </c>
    </row>
    <row r="65" spans="1:7" x14ac:dyDescent="0.3">
      <c r="A65" s="58" t="s">
        <v>1602</v>
      </c>
      <c r="B65" s="58" t="s">
        <v>1589</v>
      </c>
      <c r="C65" s="58" t="s">
        <v>1596</v>
      </c>
      <c r="D65" s="58" t="s">
        <v>1594</v>
      </c>
      <c r="E65" s="58">
        <v>9</v>
      </c>
      <c r="F65" s="58">
        <v>1640</v>
      </c>
      <c r="G65" s="58">
        <v>14760</v>
      </c>
    </row>
    <row r="66" spans="1:7" x14ac:dyDescent="0.3">
      <c r="A66" s="58" t="s">
        <v>1593</v>
      </c>
      <c r="B66" s="58" t="s">
        <v>1597</v>
      </c>
      <c r="C66" s="58" t="s">
        <v>1603</v>
      </c>
      <c r="D66" s="58" t="s">
        <v>1600</v>
      </c>
      <c r="E66" s="58">
        <v>10</v>
      </c>
      <c r="F66" s="58">
        <v>11922</v>
      </c>
      <c r="G66" s="58">
        <v>119220</v>
      </c>
    </row>
    <row r="67" spans="1:7" x14ac:dyDescent="0.3">
      <c r="A67" s="58" t="s">
        <v>1602</v>
      </c>
      <c r="B67" s="58" t="s">
        <v>1599</v>
      </c>
      <c r="C67" s="58" t="s">
        <v>1596</v>
      </c>
      <c r="D67" s="58" t="s">
        <v>1591</v>
      </c>
      <c r="E67" s="58">
        <v>3</v>
      </c>
      <c r="F67" s="58">
        <v>3415</v>
      </c>
      <c r="G67" s="58">
        <v>10245</v>
      </c>
    </row>
    <row r="68" spans="1:7" x14ac:dyDescent="0.3">
      <c r="A68" s="58" t="s">
        <v>1601</v>
      </c>
      <c r="B68" s="58" t="s">
        <v>1597</v>
      </c>
      <c r="C68" s="58" t="s">
        <v>1596</v>
      </c>
      <c r="D68" s="58" t="s">
        <v>1598</v>
      </c>
      <c r="E68" s="58">
        <v>2</v>
      </c>
      <c r="F68" s="58">
        <v>15687</v>
      </c>
      <c r="G68" s="58">
        <v>31374</v>
      </c>
    </row>
    <row r="69" spans="1:7" x14ac:dyDescent="0.3">
      <c r="A69" s="58" t="s">
        <v>1590</v>
      </c>
      <c r="B69" s="58" t="s">
        <v>1599</v>
      </c>
      <c r="C69" s="58" t="s">
        <v>1603</v>
      </c>
      <c r="D69" s="58" t="s">
        <v>1587</v>
      </c>
      <c r="E69" s="58">
        <v>7</v>
      </c>
      <c r="F69" s="58">
        <v>7546</v>
      </c>
      <c r="G69" s="58">
        <v>52822</v>
      </c>
    </row>
    <row r="70" spans="1:7" x14ac:dyDescent="0.3">
      <c r="A70" s="58" t="s">
        <v>1601</v>
      </c>
      <c r="B70" s="58" t="s">
        <v>1599</v>
      </c>
      <c r="C70" s="58" t="s">
        <v>1596</v>
      </c>
      <c r="D70" s="58" t="s">
        <v>1594</v>
      </c>
      <c r="E70" s="58">
        <v>4</v>
      </c>
      <c r="F70" s="58">
        <v>4127</v>
      </c>
      <c r="G70" s="58">
        <v>16508</v>
      </c>
    </row>
    <row r="71" spans="1:7" x14ac:dyDescent="0.3">
      <c r="A71" s="58" t="s">
        <v>1602</v>
      </c>
      <c r="B71" s="58" t="s">
        <v>1589</v>
      </c>
      <c r="C71" s="58" t="s">
        <v>1595</v>
      </c>
      <c r="D71" s="58" t="s">
        <v>1594</v>
      </c>
      <c r="E71" s="58">
        <v>9</v>
      </c>
      <c r="F71" s="58">
        <v>14789</v>
      </c>
      <c r="G71" s="58">
        <v>133101</v>
      </c>
    </row>
    <row r="72" spans="1:7" x14ac:dyDescent="0.3">
      <c r="A72" s="58" t="s">
        <v>1590</v>
      </c>
      <c r="B72" s="58" t="s">
        <v>1589</v>
      </c>
      <c r="C72" s="58" t="s">
        <v>1603</v>
      </c>
      <c r="D72" s="58" t="s">
        <v>1591</v>
      </c>
      <c r="E72" s="58">
        <v>4</v>
      </c>
      <c r="F72" s="58">
        <v>28810</v>
      </c>
      <c r="G72" s="58">
        <v>115240</v>
      </c>
    </row>
    <row r="73" spans="1:7" x14ac:dyDescent="0.3">
      <c r="A73" s="58" t="s">
        <v>1590</v>
      </c>
      <c r="B73" s="58" t="s">
        <v>1599</v>
      </c>
      <c r="C73" s="58" t="s">
        <v>1588</v>
      </c>
      <c r="D73" s="58" t="s">
        <v>1591</v>
      </c>
      <c r="E73" s="58">
        <v>10</v>
      </c>
      <c r="F73" s="58">
        <v>1857</v>
      </c>
      <c r="G73" s="58">
        <v>18570</v>
      </c>
    </row>
    <row r="74" spans="1:7" x14ac:dyDescent="0.3">
      <c r="A74" s="58" t="s">
        <v>1602</v>
      </c>
      <c r="B74" s="58" t="s">
        <v>1605</v>
      </c>
      <c r="C74" s="58" t="s">
        <v>1603</v>
      </c>
      <c r="D74" s="58" t="s">
        <v>1600</v>
      </c>
      <c r="E74" s="58">
        <v>1</v>
      </c>
      <c r="F74" s="58">
        <v>10544</v>
      </c>
      <c r="G74" s="58">
        <v>10544</v>
      </c>
    </row>
    <row r="75" spans="1:7" x14ac:dyDescent="0.3">
      <c r="A75" s="58" t="s">
        <v>1601</v>
      </c>
      <c r="B75" s="58" t="s">
        <v>1605</v>
      </c>
      <c r="C75" s="58" t="s">
        <v>1603</v>
      </c>
      <c r="D75" s="58" t="s">
        <v>1600</v>
      </c>
      <c r="E75" s="58">
        <v>10</v>
      </c>
      <c r="F75" s="58">
        <v>3039</v>
      </c>
      <c r="G75" s="58">
        <v>30390</v>
      </c>
    </row>
    <row r="76" spans="1:7" x14ac:dyDescent="0.3">
      <c r="A76" s="58" t="s">
        <v>1601</v>
      </c>
      <c r="B76" s="58" t="s">
        <v>1605</v>
      </c>
      <c r="C76" s="58" t="s">
        <v>1588</v>
      </c>
      <c r="D76" s="58" t="s">
        <v>1600</v>
      </c>
      <c r="E76" s="58">
        <v>1</v>
      </c>
      <c r="F76" s="58">
        <v>28892</v>
      </c>
      <c r="G76" s="58">
        <v>28892</v>
      </c>
    </row>
    <row r="77" spans="1:7" x14ac:dyDescent="0.3">
      <c r="A77" s="58" t="s">
        <v>1593</v>
      </c>
      <c r="B77" s="58" t="s">
        <v>1605</v>
      </c>
      <c r="C77" s="58" t="s">
        <v>1596</v>
      </c>
      <c r="D77" s="58" t="s">
        <v>1598</v>
      </c>
      <c r="E77" s="58">
        <v>4</v>
      </c>
      <c r="F77" s="58">
        <v>8511</v>
      </c>
      <c r="G77" s="58">
        <v>34044</v>
      </c>
    </row>
    <row r="78" spans="1:7" x14ac:dyDescent="0.3">
      <c r="A78" s="58" t="s">
        <v>1604</v>
      </c>
      <c r="B78" s="58" t="s">
        <v>1597</v>
      </c>
      <c r="C78" s="58" t="s">
        <v>1588</v>
      </c>
      <c r="D78" s="58" t="s">
        <v>1591</v>
      </c>
      <c r="E78" s="58">
        <v>7</v>
      </c>
      <c r="F78" s="58">
        <v>7830</v>
      </c>
      <c r="G78" s="58">
        <v>54810</v>
      </c>
    </row>
    <row r="79" spans="1:7" x14ac:dyDescent="0.3">
      <c r="A79" s="58" t="s">
        <v>1602</v>
      </c>
      <c r="B79" s="58" t="s">
        <v>1589</v>
      </c>
      <c r="C79" s="58" t="s">
        <v>1596</v>
      </c>
      <c r="D79" s="58" t="s">
        <v>1594</v>
      </c>
      <c r="E79" s="58">
        <v>9</v>
      </c>
      <c r="F79" s="58">
        <v>26619</v>
      </c>
      <c r="G79" s="58">
        <v>239571</v>
      </c>
    </row>
    <row r="80" spans="1:7" x14ac:dyDescent="0.3">
      <c r="A80" s="58" t="s">
        <v>1602</v>
      </c>
      <c r="B80" s="58" t="s">
        <v>1599</v>
      </c>
      <c r="C80" s="58" t="s">
        <v>1596</v>
      </c>
      <c r="D80" s="58" t="s">
        <v>1591</v>
      </c>
      <c r="E80" s="58">
        <v>5</v>
      </c>
      <c r="F80" s="58">
        <v>24282</v>
      </c>
      <c r="G80" s="58">
        <v>121410</v>
      </c>
    </row>
    <row r="81" spans="1:7" x14ac:dyDescent="0.3">
      <c r="A81" s="58" t="s">
        <v>1601</v>
      </c>
      <c r="B81" s="58" t="s">
        <v>1597</v>
      </c>
      <c r="C81" s="58" t="s">
        <v>1595</v>
      </c>
      <c r="D81" s="58" t="s">
        <v>1600</v>
      </c>
      <c r="E81" s="58">
        <v>7</v>
      </c>
      <c r="F81" s="58">
        <v>14023</v>
      </c>
      <c r="G81" s="58">
        <v>98161</v>
      </c>
    </row>
    <row r="82" spans="1:7" x14ac:dyDescent="0.3">
      <c r="A82" s="58" t="s">
        <v>1593</v>
      </c>
      <c r="B82" s="58" t="s">
        <v>1599</v>
      </c>
      <c r="C82" s="58" t="s">
        <v>1596</v>
      </c>
      <c r="D82" s="58" t="s">
        <v>1598</v>
      </c>
      <c r="E82" s="58">
        <v>3</v>
      </c>
      <c r="F82" s="58">
        <v>23766</v>
      </c>
      <c r="G82" s="58">
        <v>71298</v>
      </c>
    </row>
    <row r="83" spans="1:7" x14ac:dyDescent="0.3">
      <c r="A83" s="58" t="s">
        <v>1601</v>
      </c>
      <c r="B83" s="58" t="s">
        <v>1597</v>
      </c>
      <c r="C83" s="58" t="s">
        <v>1588</v>
      </c>
      <c r="D83" s="58" t="s">
        <v>1591</v>
      </c>
      <c r="E83" s="58">
        <v>10</v>
      </c>
      <c r="F83" s="58">
        <v>9038</v>
      </c>
      <c r="G83" s="58">
        <v>90380</v>
      </c>
    </row>
    <row r="84" spans="1:7" x14ac:dyDescent="0.3">
      <c r="A84" s="58" t="s">
        <v>1601</v>
      </c>
      <c r="B84" s="58" t="s">
        <v>1589</v>
      </c>
      <c r="C84" s="58" t="s">
        <v>1595</v>
      </c>
      <c r="D84" s="58" t="s">
        <v>1598</v>
      </c>
      <c r="E84" s="58">
        <v>1</v>
      </c>
      <c r="F84" s="58">
        <v>7291</v>
      </c>
      <c r="G84" s="58">
        <v>7291</v>
      </c>
    </row>
    <row r="85" spans="1:7" x14ac:dyDescent="0.3">
      <c r="A85" s="58" t="s">
        <v>1604</v>
      </c>
      <c r="B85" s="58" t="s">
        <v>1605</v>
      </c>
      <c r="C85" s="58" t="s">
        <v>1592</v>
      </c>
      <c r="D85" s="58" t="s">
        <v>1594</v>
      </c>
      <c r="E85" s="58">
        <v>9</v>
      </c>
      <c r="F85" s="58">
        <v>1087</v>
      </c>
      <c r="G85" s="58">
        <v>9783</v>
      </c>
    </row>
    <row r="86" spans="1:7" x14ac:dyDescent="0.3">
      <c r="A86" s="58" t="s">
        <v>1602</v>
      </c>
      <c r="B86" s="58" t="s">
        <v>1605</v>
      </c>
      <c r="C86" s="58" t="s">
        <v>1592</v>
      </c>
      <c r="D86" s="58" t="s">
        <v>1591</v>
      </c>
      <c r="E86" s="58">
        <v>9</v>
      </c>
      <c r="F86" s="58">
        <v>24198</v>
      </c>
      <c r="G86" s="58">
        <v>217782</v>
      </c>
    </row>
    <row r="87" spans="1:7" x14ac:dyDescent="0.3">
      <c r="A87" s="58" t="s">
        <v>1601</v>
      </c>
      <c r="B87" s="58" t="s">
        <v>1589</v>
      </c>
      <c r="C87" s="58" t="s">
        <v>1595</v>
      </c>
      <c r="D87" s="58" t="s">
        <v>1587</v>
      </c>
      <c r="E87" s="58">
        <v>3</v>
      </c>
      <c r="F87" s="58">
        <v>16981</v>
      </c>
      <c r="G87" s="58">
        <v>50943</v>
      </c>
    </row>
    <row r="88" spans="1:7" x14ac:dyDescent="0.3">
      <c r="A88" s="58" t="s">
        <v>1593</v>
      </c>
      <c r="B88" s="58" t="s">
        <v>1597</v>
      </c>
      <c r="C88" s="58" t="s">
        <v>1603</v>
      </c>
      <c r="D88" s="58" t="s">
        <v>1594</v>
      </c>
      <c r="E88" s="58">
        <v>8</v>
      </c>
      <c r="F88" s="58">
        <v>11258</v>
      </c>
      <c r="G88" s="58">
        <v>90064</v>
      </c>
    </row>
    <row r="89" spans="1:7" x14ac:dyDescent="0.3">
      <c r="A89" s="58" t="s">
        <v>1590</v>
      </c>
      <c r="B89" s="58" t="s">
        <v>1589</v>
      </c>
      <c r="C89" s="58" t="s">
        <v>1588</v>
      </c>
      <c r="D89" s="58" t="s">
        <v>1591</v>
      </c>
      <c r="E89" s="58">
        <v>6</v>
      </c>
      <c r="F89" s="58">
        <v>28979</v>
      </c>
      <c r="G89" s="58">
        <v>173874</v>
      </c>
    </row>
    <row r="90" spans="1:7" x14ac:dyDescent="0.3">
      <c r="A90" s="58" t="s">
        <v>1604</v>
      </c>
      <c r="B90" s="58" t="s">
        <v>1597</v>
      </c>
      <c r="C90" s="58" t="s">
        <v>1588</v>
      </c>
      <c r="D90" s="58" t="s">
        <v>1587</v>
      </c>
      <c r="E90" s="58">
        <v>7</v>
      </c>
      <c r="F90" s="58">
        <v>17371</v>
      </c>
      <c r="G90" s="58">
        <v>121597</v>
      </c>
    </row>
    <row r="91" spans="1:7" x14ac:dyDescent="0.3">
      <c r="A91" s="58" t="s">
        <v>1593</v>
      </c>
      <c r="B91" s="58" t="s">
        <v>1605</v>
      </c>
      <c r="C91" s="58" t="s">
        <v>1588</v>
      </c>
      <c r="D91" s="58" t="s">
        <v>1606</v>
      </c>
      <c r="E91" s="58">
        <v>4</v>
      </c>
      <c r="F91" s="58">
        <v>20318</v>
      </c>
      <c r="G91" s="58">
        <v>81272</v>
      </c>
    </row>
    <row r="92" spans="1:7" x14ac:dyDescent="0.3">
      <c r="A92" s="58" t="s">
        <v>1602</v>
      </c>
      <c r="B92" s="58" t="s">
        <v>1605</v>
      </c>
      <c r="C92" s="58" t="s">
        <v>1592</v>
      </c>
      <c r="D92" s="58" t="s">
        <v>1598</v>
      </c>
      <c r="E92" s="58">
        <v>8</v>
      </c>
      <c r="F92" s="58">
        <v>27080</v>
      </c>
      <c r="G92" s="58">
        <v>216640</v>
      </c>
    </row>
    <row r="93" spans="1:7" x14ac:dyDescent="0.3">
      <c r="A93" s="58" t="s">
        <v>1593</v>
      </c>
      <c r="B93" s="58" t="s">
        <v>1597</v>
      </c>
      <c r="C93" s="58" t="s">
        <v>1595</v>
      </c>
      <c r="D93" s="58" t="s">
        <v>1600</v>
      </c>
      <c r="E93" s="58">
        <v>2</v>
      </c>
      <c r="F93" s="58">
        <v>8285</v>
      </c>
      <c r="G93" s="58">
        <v>16570</v>
      </c>
    </row>
    <row r="94" spans="1:7" x14ac:dyDescent="0.3">
      <c r="A94" s="58" t="s">
        <v>1593</v>
      </c>
      <c r="B94" s="58" t="s">
        <v>1605</v>
      </c>
      <c r="C94" s="58" t="s">
        <v>1596</v>
      </c>
      <c r="D94" s="58" t="s">
        <v>1598</v>
      </c>
      <c r="E94" s="58">
        <v>2</v>
      </c>
      <c r="F94" s="58">
        <v>11636</v>
      </c>
      <c r="G94" s="58">
        <v>23272</v>
      </c>
    </row>
    <row r="95" spans="1:7" x14ac:dyDescent="0.3">
      <c r="A95" s="58" t="s">
        <v>1602</v>
      </c>
      <c r="B95" s="58" t="s">
        <v>1599</v>
      </c>
      <c r="C95" s="58" t="s">
        <v>1592</v>
      </c>
      <c r="D95" s="58" t="s">
        <v>1594</v>
      </c>
      <c r="E95" s="58">
        <v>9</v>
      </c>
      <c r="F95" s="58">
        <v>4688</v>
      </c>
      <c r="G95" s="58">
        <v>42192</v>
      </c>
    </row>
    <row r="96" spans="1:7" x14ac:dyDescent="0.3">
      <c r="A96" s="58" t="s">
        <v>1604</v>
      </c>
      <c r="B96" s="58" t="s">
        <v>1597</v>
      </c>
      <c r="C96" s="58" t="s">
        <v>1592</v>
      </c>
      <c r="D96" s="58" t="s">
        <v>1587</v>
      </c>
      <c r="E96" s="58">
        <v>2</v>
      </c>
      <c r="F96" s="58">
        <v>20837</v>
      </c>
      <c r="G96" s="58">
        <v>41674</v>
      </c>
    </row>
    <row r="97" spans="1:7" x14ac:dyDescent="0.3">
      <c r="A97" s="58" t="s">
        <v>1604</v>
      </c>
      <c r="B97" s="58" t="s">
        <v>1589</v>
      </c>
      <c r="C97" s="58" t="s">
        <v>1596</v>
      </c>
      <c r="D97" s="58" t="s">
        <v>1594</v>
      </c>
      <c r="E97" s="58">
        <v>7</v>
      </c>
      <c r="F97" s="58">
        <v>19748</v>
      </c>
      <c r="G97" s="58">
        <v>138236</v>
      </c>
    </row>
    <row r="98" spans="1:7" x14ac:dyDescent="0.3">
      <c r="A98" s="58" t="s">
        <v>1604</v>
      </c>
      <c r="B98" s="58" t="s">
        <v>1599</v>
      </c>
      <c r="C98" s="58" t="s">
        <v>1596</v>
      </c>
      <c r="D98" s="58" t="s">
        <v>1606</v>
      </c>
      <c r="E98" s="58">
        <v>7</v>
      </c>
      <c r="F98" s="58">
        <v>4398</v>
      </c>
      <c r="G98" s="58">
        <v>30786</v>
      </c>
    </row>
    <row r="99" spans="1:7" x14ac:dyDescent="0.3">
      <c r="A99" s="58" t="s">
        <v>1604</v>
      </c>
      <c r="B99" s="58" t="s">
        <v>1605</v>
      </c>
      <c r="C99" s="58" t="s">
        <v>1596</v>
      </c>
      <c r="D99" s="58" t="s">
        <v>1598</v>
      </c>
      <c r="E99" s="58">
        <v>4</v>
      </c>
      <c r="F99" s="58">
        <v>27401</v>
      </c>
      <c r="G99" s="58">
        <v>109604</v>
      </c>
    </row>
    <row r="100" spans="1:7" x14ac:dyDescent="0.3">
      <c r="A100" s="58" t="s">
        <v>1590</v>
      </c>
      <c r="B100" s="58" t="s">
        <v>1597</v>
      </c>
      <c r="C100" s="58" t="s">
        <v>1603</v>
      </c>
      <c r="D100" s="58" t="s">
        <v>1594</v>
      </c>
      <c r="E100" s="58">
        <v>1</v>
      </c>
      <c r="F100" s="58">
        <v>28700</v>
      </c>
      <c r="G100" s="58">
        <v>28700</v>
      </c>
    </row>
    <row r="101" spans="1:7" x14ac:dyDescent="0.3">
      <c r="A101" s="58" t="s">
        <v>1604</v>
      </c>
      <c r="B101" s="58" t="s">
        <v>1597</v>
      </c>
      <c r="C101" s="58" t="s">
        <v>1603</v>
      </c>
      <c r="D101" s="58" t="s">
        <v>1598</v>
      </c>
      <c r="E101" s="58">
        <v>4</v>
      </c>
      <c r="F101" s="58">
        <v>3102</v>
      </c>
      <c r="G101" s="58">
        <v>12408</v>
      </c>
    </row>
    <row r="102" spans="1:7" x14ac:dyDescent="0.3">
      <c r="A102" s="58" t="s">
        <v>1602</v>
      </c>
      <c r="B102" s="58" t="s">
        <v>1589</v>
      </c>
      <c r="C102" s="58" t="s">
        <v>1595</v>
      </c>
      <c r="D102" s="58" t="s">
        <v>1594</v>
      </c>
      <c r="E102" s="58">
        <v>7</v>
      </c>
      <c r="F102" s="58">
        <v>4560</v>
      </c>
      <c r="G102" s="58">
        <v>31920</v>
      </c>
    </row>
    <row r="103" spans="1:7" x14ac:dyDescent="0.3">
      <c r="A103" s="58" t="s">
        <v>1604</v>
      </c>
      <c r="B103" s="58" t="s">
        <v>1589</v>
      </c>
      <c r="C103" s="58" t="s">
        <v>1596</v>
      </c>
      <c r="D103" s="58" t="s">
        <v>1600</v>
      </c>
      <c r="E103" s="58">
        <v>10</v>
      </c>
      <c r="F103" s="58">
        <v>16834</v>
      </c>
      <c r="G103" s="58">
        <v>168340</v>
      </c>
    </row>
    <row r="104" spans="1:7" x14ac:dyDescent="0.3">
      <c r="A104" s="58" t="s">
        <v>1590</v>
      </c>
      <c r="B104" s="58" t="s">
        <v>1605</v>
      </c>
      <c r="C104" s="58" t="s">
        <v>1596</v>
      </c>
      <c r="D104" s="58" t="s">
        <v>1606</v>
      </c>
      <c r="E104" s="58">
        <v>8</v>
      </c>
      <c r="F104" s="58">
        <v>16844</v>
      </c>
      <c r="G104" s="58">
        <v>134752</v>
      </c>
    </row>
    <row r="105" spans="1:7" x14ac:dyDescent="0.3">
      <c r="A105" s="58" t="s">
        <v>1604</v>
      </c>
      <c r="B105" s="58" t="s">
        <v>1589</v>
      </c>
      <c r="C105" s="58" t="s">
        <v>1596</v>
      </c>
      <c r="D105" s="58" t="s">
        <v>1598</v>
      </c>
      <c r="E105" s="58">
        <v>6</v>
      </c>
      <c r="F105" s="58">
        <v>5610</v>
      </c>
      <c r="G105" s="58">
        <v>33660</v>
      </c>
    </row>
    <row r="106" spans="1:7" x14ac:dyDescent="0.3">
      <c r="A106" s="58" t="s">
        <v>1601</v>
      </c>
      <c r="B106" s="58" t="s">
        <v>1589</v>
      </c>
      <c r="C106" s="58" t="s">
        <v>1595</v>
      </c>
      <c r="D106" s="58" t="s">
        <v>1600</v>
      </c>
      <c r="E106" s="58">
        <v>3</v>
      </c>
      <c r="F106" s="58">
        <v>10258</v>
      </c>
      <c r="G106" s="58">
        <v>30774</v>
      </c>
    </row>
    <row r="107" spans="1:7" x14ac:dyDescent="0.3">
      <c r="A107" s="58" t="s">
        <v>1590</v>
      </c>
      <c r="B107" s="58" t="s">
        <v>1599</v>
      </c>
      <c r="C107" s="58" t="s">
        <v>1596</v>
      </c>
      <c r="D107" s="58" t="s">
        <v>1594</v>
      </c>
      <c r="E107" s="58">
        <v>8</v>
      </c>
      <c r="F107" s="58">
        <v>27712</v>
      </c>
      <c r="G107" s="58">
        <v>221696</v>
      </c>
    </row>
    <row r="108" spans="1:7" x14ac:dyDescent="0.3">
      <c r="A108" s="58" t="s">
        <v>1604</v>
      </c>
      <c r="B108" s="58" t="s">
        <v>1589</v>
      </c>
      <c r="C108" s="58" t="s">
        <v>1595</v>
      </c>
      <c r="D108" s="58" t="s">
        <v>1591</v>
      </c>
      <c r="E108" s="58">
        <v>9</v>
      </c>
      <c r="F108" s="58">
        <v>1195</v>
      </c>
      <c r="G108" s="58">
        <v>10755</v>
      </c>
    </row>
    <row r="109" spans="1:7" x14ac:dyDescent="0.3">
      <c r="A109" s="58" t="s">
        <v>1593</v>
      </c>
      <c r="B109" s="58" t="s">
        <v>1597</v>
      </c>
      <c r="C109" s="58" t="s">
        <v>1588</v>
      </c>
      <c r="D109" s="58" t="s">
        <v>1606</v>
      </c>
      <c r="E109" s="58">
        <v>9</v>
      </c>
      <c r="F109" s="58">
        <v>28321</v>
      </c>
      <c r="G109" s="58">
        <v>254889</v>
      </c>
    </row>
    <row r="110" spans="1:7" x14ac:dyDescent="0.3">
      <c r="A110" s="58" t="s">
        <v>1593</v>
      </c>
      <c r="B110" s="58" t="s">
        <v>1589</v>
      </c>
      <c r="C110" s="58" t="s">
        <v>1596</v>
      </c>
      <c r="D110" s="58" t="s">
        <v>1600</v>
      </c>
      <c r="E110" s="58">
        <v>4</v>
      </c>
      <c r="F110" s="58">
        <v>2950</v>
      </c>
      <c r="G110" s="58">
        <v>11800</v>
      </c>
    </row>
    <row r="111" spans="1:7" x14ac:dyDescent="0.3">
      <c r="A111" s="58" t="s">
        <v>1590</v>
      </c>
      <c r="B111" s="58" t="s">
        <v>1597</v>
      </c>
      <c r="C111" s="58" t="s">
        <v>1592</v>
      </c>
      <c r="D111" s="58" t="s">
        <v>1591</v>
      </c>
      <c r="E111" s="58">
        <v>9</v>
      </c>
      <c r="F111" s="58">
        <v>3622</v>
      </c>
      <c r="G111" s="58">
        <v>32598</v>
      </c>
    </row>
    <row r="112" spans="1:7" x14ac:dyDescent="0.3">
      <c r="A112" s="58" t="s">
        <v>1602</v>
      </c>
      <c r="B112" s="58" t="s">
        <v>1597</v>
      </c>
      <c r="C112" s="58" t="s">
        <v>1595</v>
      </c>
      <c r="D112" s="58" t="s">
        <v>1587</v>
      </c>
      <c r="E112" s="58">
        <v>4</v>
      </c>
      <c r="F112" s="58">
        <v>9706</v>
      </c>
      <c r="G112" s="58">
        <v>38824</v>
      </c>
    </row>
    <row r="113" spans="1:7" x14ac:dyDescent="0.3">
      <c r="A113" s="58" t="s">
        <v>1604</v>
      </c>
      <c r="B113" s="58" t="s">
        <v>1605</v>
      </c>
      <c r="C113" s="58" t="s">
        <v>1603</v>
      </c>
      <c r="D113" s="58" t="s">
        <v>1598</v>
      </c>
      <c r="E113" s="58">
        <v>6</v>
      </c>
      <c r="F113" s="58">
        <v>22759</v>
      </c>
      <c r="G113" s="58">
        <v>136554</v>
      </c>
    </row>
    <row r="114" spans="1:7" x14ac:dyDescent="0.3">
      <c r="A114" s="58" t="s">
        <v>1604</v>
      </c>
      <c r="B114" s="58" t="s">
        <v>1589</v>
      </c>
      <c r="C114" s="58" t="s">
        <v>1596</v>
      </c>
      <c r="D114" s="58" t="s">
        <v>1600</v>
      </c>
      <c r="E114" s="58">
        <v>7</v>
      </c>
      <c r="F114" s="58">
        <v>27672</v>
      </c>
      <c r="G114" s="58">
        <v>193704</v>
      </c>
    </row>
    <row r="115" spans="1:7" x14ac:dyDescent="0.3">
      <c r="A115" s="58" t="s">
        <v>1601</v>
      </c>
      <c r="B115" s="58" t="s">
        <v>1605</v>
      </c>
      <c r="C115" s="58" t="s">
        <v>1595</v>
      </c>
      <c r="D115" s="58" t="s">
        <v>1598</v>
      </c>
      <c r="E115" s="58">
        <v>10</v>
      </c>
      <c r="F115" s="58">
        <v>17466</v>
      </c>
      <c r="G115" s="58">
        <v>174660</v>
      </c>
    </row>
    <row r="116" spans="1:7" x14ac:dyDescent="0.3">
      <c r="A116" s="58" t="s">
        <v>1593</v>
      </c>
      <c r="B116" s="58" t="s">
        <v>1605</v>
      </c>
      <c r="C116" s="58" t="s">
        <v>1588</v>
      </c>
      <c r="D116" s="58" t="s">
        <v>1591</v>
      </c>
      <c r="E116" s="58">
        <v>8</v>
      </c>
      <c r="F116" s="58">
        <v>14662</v>
      </c>
      <c r="G116" s="58">
        <v>117296</v>
      </c>
    </row>
    <row r="117" spans="1:7" x14ac:dyDescent="0.3">
      <c r="A117" s="58" t="s">
        <v>1590</v>
      </c>
      <c r="B117" s="58" t="s">
        <v>1599</v>
      </c>
      <c r="C117" s="58" t="s">
        <v>1596</v>
      </c>
      <c r="D117" s="58" t="s">
        <v>1587</v>
      </c>
      <c r="E117" s="58">
        <v>2</v>
      </c>
      <c r="F117" s="58">
        <v>23697</v>
      </c>
      <c r="G117" s="58">
        <v>47394</v>
      </c>
    </row>
    <row r="118" spans="1:7" x14ac:dyDescent="0.3">
      <c r="A118" s="58" t="s">
        <v>1590</v>
      </c>
      <c r="B118" s="58" t="s">
        <v>1589</v>
      </c>
      <c r="C118" s="58" t="s">
        <v>1595</v>
      </c>
      <c r="D118" s="58" t="s">
        <v>1591</v>
      </c>
      <c r="E118" s="58">
        <v>1</v>
      </c>
      <c r="F118" s="58">
        <v>24154</v>
      </c>
      <c r="G118" s="58">
        <v>24154</v>
      </c>
    </row>
    <row r="119" spans="1:7" x14ac:dyDescent="0.3">
      <c r="A119" s="58" t="s">
        <v>1601</v>
      </c>
      <c r="B119" s="58" t="s">
        <v>1589</v>
      </c>
      <c r="C119" s="58" t="s">
        <v>1588</v>
      </c>
      <c r="D119" s="58" t="s">
        <v>1591</v>
      </c>
      <c r="E119" s="58">
        <v>4</v>
      </c>
      <c r="F119" s="58">
        <v>12880</v>
      </c>
      <c r="G119" s="58">
        <v>51520</v>
      </c>
    </row>
    <row r="120" spans="1:7" x14ac:dyDescent="0.3">
      <c r="A120" s="58" t="s">
        <v>1602</v>
      </c>
      <c r="B120" s="58" t="s">
        <v>1599</v>
      </c>
      <c r="C120" s="58" t="s">
        <v>1595</v>
      </c>
      <c r="D120" s="58" t="s">
        <v>1587</v>
      </c>
      <c r="E120" s="58">
        <v>10</v>
      </c>
      <c r="F120" s="58">
        <v>18674</v>
      </c>
      <c r="G120" s="58">
        <v>186740</v>
      </c>
    </row>
    <row r="121" spans="1:7" x14ac:dyDescent="0.3">
      <c r="A121" s="58" t="s">
        <v>1593</v>
      </c>
      <c r="B121" s="58" t="s">
        <v>1597</v>
      </c>
      <c r="C121" s="58" t="s">
        <v>1596</v>
      </c>
      <c r="D121" s="58" t="s">
        <v>1600</v>
      </c>
      <c r="E121" s="58">
        <v>2</v>
      </c>
      <c r="F121" s="58">
        <v>28592</v>
      </c>
      <c r="G121" s="58">
        <v>57184</v>
      </c>
    </row>
    <row r="122" spans="1:7" x14ac:dyDescent="0.3">
      <c r="A122" s="58" t="s">
        <v>1593</v>
      </c>
      <c r="B122" s="58" t="s">
        <v>1597</v>
      </c>
      <c r="C122" s="58" t="s">
        <v>1588</v>
      </c>
      <c r="D122" s="58" t="s">
        <v>1598</v>
      </c>
      <c r="E122" s="58">
        <v>4</v>
      </c>
      <c r="F122" s="58">
        <v>17660</v>
      </c>
      <c r="G122" s="58">
        <v>70640</v>
      </c>
    </row>
    <row r="123" spans="1:7" x14ac:dyDescent="0.3">
      <c r="A123" s="58" t="s">
        <v>1604</v>
      </c>
      <c r="B123" s="58" t="s">
        <v>1605</v>
      </c>
      <c r="C123" s="58" t="s">
        <v>1592</v>
      </c>
      <c r="D123" s="58" t="s">
        <v>1587</v>
      </c>
      <c r="E123" s="58">
        <v>6</v>
      </c>
      <c r="F123" s="58">
        <v>21179</v>
      </c>
      <c r="G123" s="58">
        <v>127074</v>
      </c>
    </row>
    <row r="124" spans="1:7" x14ac:dyDescent="0.3">
      <c r="A124" s="58" t="s">
        <v>1593</v>
      </c>
      <c r="B124" s="58" t="s">
        <v>1599</v>
      </c>
      <c r="C124" s="58" t="s">
        <v>1592</v>
      </c>
      <c r="D124" s="58" t="s">
        <v>1606</v>
      </c>
      <c r="E124" s="58">
        <v>6</v>
      </c>
      <c r="F124" s="58">
        <v>7322</v>
      </c>
      <c r="G124" s="58">
        <v>43932</v>
      </c>
    </row>
    <row r="125" spans="1:7" x14ac:dyDescent="0.3">
      <c r="A125" s="58" t="s">
        <v>1593</v>
      </c>
      <c r="B125" s="58" t="s">
        <v>1589</v>
      </c>
      <c r="C125" s="58" t="s">
        <v>1595</v>
      </c>
      <c r="D125" s="58" t="s">
        <v>1591</v>
      </c>
      <c r="E125" s="58">
        <v>2</v>
      </c>
      <c r="F125" s="58">
        <v>28781</v>
      </c>
      <c r="G125" s="58">
        <v>57562</v>
      </c>
    </row>
    <row r="126" spans="1:7" x14ac:dyDescent="0.3">
      <c r="A126" s="58" t="s">
        <v>1602</v>
      </c>
      <c r="B126" s="58" t="s">
        <v>1605</v>
      </c>
      <c r="C126" s="58" t="s">
        <v>1596</v>
      </c>
      <c r="D126" s="58" t="s">
        <v>1587</v>
      </c>
      <c r="E126" s="58">
        <v>4</v>
      </c>
      <c r="F126" s="58">
        <v>29107</v>
      </c>
      <c r="G126" s="58">
        <v>116428</v>
      </c>
    </row>
    <row r="127" spans="1:7" x14ac:dyDescent="0.3">
      <c r="A127" s="58" t="s">
        <v>1593</v>
      </c>
      <c r="B127" s="58" t="s">
        <v>1605</v>
      </c>
      <c r="C127" s="58" t="s">
        <v>1588</v>
      </c>
      <c r="D127" s="58" t="s">
        <v>1606</v>
      </c>
      <c r="E127" s="58">
        <v>1</v>
      </c>
      <c r="F127" s="58">
        <v>28975</v>
      </c>
      <c r="G127" s="58">
        <v>28975</v>
      </c>
    </row>
    <row r="128" spans="1:7" x14ac:dyDescent="0.3">
      <c r="A128" s="58" t="s">
        <v>1590</v>
      </c>
      <c r="B128" s="58" t="s">
        <v>1597</v>
      </c>
      <c r="C128" s="58" t="s">
        <v>1603</v>
      </c>
      <c r="D128" s="58" t="s">
        <v>1587</v>
      </c>
      <c r="E128" s="58">
        <v>8</v>
      </c>
      <c r="F128" s="58">
        <v>29632</v>
      </c>
      <c r="G128" s="58">
        <v>237056</v>
      </c>
    </row>
    <row r="129" spans="1:7" x14ac:dyDescent="0.3">
      <c r="A129" s="58" t="s">
        <v>1593</v>
      </c>
      <c r="B129" s="58" t="s">
        <v>1599</v>
      </c>
      <c r="C129" s="58" t="s">
        <v>1592</v>
      </c>
      <c r="D129" s="58" t="s">
        <v>1598</v>
      </c>
      <c r="E129" s="58">
        <v>6</v>
      </c>
      <c r="F129" s="58">
        <v>13356</v>
      </c>
      <c r="G129" s="58">
        <v>80136</v>
      </c>
    </row>
    <row r="130" spans="1:7" x14ac:dyDescent="0.3">
      <c r="A130" s="58" t="s">
        <v>1593</v>
      </c>
      <c r="B130" s="58" t="s">
        <v>1599</v>
      </c>
      <c r="C130" s="58" t="s">
        <v>1588</v>
      </c>
      <c r="D130" s="58" t="s">
        <v>1587</v>
      </c>
      <c r="E130" s="58">
        <v>8</v>
      </c>
      <c r="F130" s="58">
        <v>15805</v>
      </c>
      <c r="G130" s="58">
        <v>126440</v>
      </c>
    </row>
    <row r="131" spans="1:7" x14ac:dyDescent="0.3">
      <c r="A131" s="58" t="s">
        <v>1590</v>
      </c>
      <c r="B131" s="58" t="s">
        <v>1605</v>
      </c>
      <c r="C131" s="58" t="s">
        <v>1592</v>
      </c>
      <c r="D131" s="58" t="s">
        <v>1598</v>
      </c>
      <c r="E131" s="58">
        <v>3</v>
      </c>
      <c r="F131" s="58">
        <v>8315</v>
      </c>
      <c r="G131" s="58">
        <v>24945</v>
      </c>
    </row>
    <row r="132" spans="1:7" x14ac:dyDescent="0.3">
      <c r="A132" s="58" t="s">
        <v>1593</v>
      </c>
      <c r="B132" s="58" t="s">
        <v>1597</v>
      </c>
      <c r="C132" s="58" t="s">
        <v>1603</v>
      </c>
      <c r="D132" s="58" t="s">
        <v>1598</v>
      </c>
      <c r="E132" s="58">
        <v>3</v>
      </c>
      <c r="F132" s="58">
        <v>16859</v>
      </c>
      <c r="G132" s="58">
        <v>50577</v>
      </c>
    </row>
    <row r="133" spans="1:7" x14ac:dyDescent="0.3">
      <c r="A133" s="58" t="s">
        <v>1602</v>
      </c>
      <c r="B133" s="58" t="s">
        <v>1597</v>
      </c>
      <c r="C133" s="58" t="s">
        <v>1595</v>
      </c>
      <c r="D133" s="58" t="s">
        <v>1587</v>
      </c>
      <c r="E133" s="58">
        <v>2</v>
      </c>
      <c r="F133" s="58">
        <v>15287</v>
      </c>
      <c r="G133" s="58">
        <v>30574</v>
      </c>
    </row>
    <row r="134" spans="1:7" x14ac:dyDescent="0.3">
      <c r="A134" s="58" t="s">
        <v>1601</v>
      </c>
      <c r="B134" s="58" t="s">
        <v>1589</v>
      </c>
      <c r="C134" s="58" t="s">
        <v>1588</v>
      </c>
      <c r="D134" s="58" t="s">
        <v>1600</v>
      </c>
      <c r="E134" s="58">
        <v>1</v>
      </c>
      <c r="F134" s="58">
        <v>11679</v>
      </c>
      <c r="G134" s="58">
        <v>11679</v>
      </c>
    </row>
    <row r="135" spans="1:7" x14ac:dyDescent="0.3">
      <c r="A135" s="58" t="s">
        <v>1602</v>
      </c>
      <c r="B135" s="58" t="s">
        <v>1589</v>
      </c>
      <c r="C135" s="58" t="s">
        <v>1595</v>
      </c>
      <c r="D135" s="58" t="s">
        <v>1600</v>
      </c>
      <c r="E135" s="58">
        <v>2</v>
      </c>
      <c r="F135" s="58">
        <v>3089</v>
      </c>
      <c r="G135" s="58">
        <v>6178</v>
      </c>
    </row>
    <row r="136" spans="1:7" x14ac:dyDescent="0.3">
      <c r="A136" s="58" t="s">
        <v>1604</v>
      </c>
      <c r="B136" s="58" t="s">
        <v>1605</v>
      </c>
      <c r="C136" s="58" t="s">
        <v>1596</v>
      </c>
      <c r="D136" s="58" t="s">
        <v>1594</v>
      </c>
      <c r="E136" s="58">
        <v>4</v>
      </c>
      <c r="F136" s="58">
        <v>28578</v>
      </c>
      <c r="G136" s="58">
        <v>114312</v>
      </c>
    </row>
    <row r="137" spans="1:7" x14ac:dyDescent="0.3">
      <c r="A137" s="58" t="s">
        <v>1602</v>
      </c>
      <c r="B137" s="58" t="s">
        <v>1605</v>
      </c>
      <c r="C137" s="58" t="s">
        <v>1603</v>
      </c>
      <c r="D137" s="58" t="s">
        <v>1600</v>
      </c>
      <c r="E137" s="58">
        <v>4</v>
      </c>
      <c r="F137" s="58">
        <v>24935</v>
      </c>
      <c r="G137" s="58">
        <v>99740</v>
      </c>
    </row>
    <row r="138" spans="1:7" x14ac:dyDescent="0.3">
      <c r="A138" s="58" t="s">
        <v>1601</v>
      </c>
      <c r="B138" s="58" t="s">
        <v>1589</v>
      </c>
      <c r="C138" s="58" t="s">
        <v>1588</v>
      </c>
      <c r="D138" s="58" t="s">
        <v>1600</v>
      </c>
      <c r="E138" s="58">
        <v>3</v>
      </c>
      <c r="F138" s="58">
        <v>6556</v>
      </c>
      <c r="G138" s="58">
        <v>19668</v>
      </c>
    </row>
    <row r="139" spans="1:7" x14ac:dyDescent="0.3">
      <c r="A139" s="58" t="s">
        <v>1604</v>
      </c>
      <c r="B139" s="58" t="s">
        <v>1597</v>
      </c>
      <c r="C139" s="58" t="s">
        <v>1603</v>
      </c>
      <c r="D139" s="58" t="s">
        <v>1594</v>
      </c>
      <c r="E139" s="58">
        <v>6</v>
      </c>
      <c r="F139" s="58">
        <v>25210</v>
      </c>
      <c r="G139" s="58">
        <v>151260</v>
      </c>
    </row>
    <row r="140" spans="1:7" x14ac:dyDescent="0.3">
      <c r="A140" s="58" t="s">
        <v>1601</v>
      </c>
      <c r="B140" s="58" t="s">
        <v>1599</v>
      </c>
      <c r="C140" s="58" t="s">
        <v>1603</v>
      </c>
      <c r="D140" s="58" t="s">
        <v>1587</v>
      </c>
      <c r="E140" s="58">
        <v>10</v>
      </c>
      <c r="F140" s="58">
        <v>10076</v>
      </c>
      <c r="G140" s="58">
        <v>100760</v>
      </c>
    </row>
    <row r="141" spans="1:7" x14ac:dyDescent="0.3">
      <c r="A141" s="58" t="s">
        <v>1604</v>
      </c>
      <c r="B141" s="58" t="s">
        <v>1597</v>
      </c>
      <c r="C141" s="58" t="s">
        <v>1603</v>
      </c>
      <c r="D141" s="58" t="s">
        <v>1600</v>
      </c>
      <c r="E141" s="58">
        <v>8</v>
      </c>
      <c r="F141" s="58">
        <v>3644</v>
      </c>
      <c r="G141" s="58">
        <v>29152</v>
      </c>
    </row>
    <row r="142" spans="1:7" x14ac:dyDescent="0.3">
      <c r="A142" s="58" t="s">
        <v>1602</v>
      </c>
      <c r="B142" s="58" t="s">
        <v>1589</v>
      </c>
      <c r="C142" s="58" t="s">
        <v>1592</v>
      </c>
      <c r="D142" s="58" t="s">
        <v>1594</v>
      </c>
      <c r="E142" s="58">
        <v>5</v>
      </c>
      <c r="F142" s="58">
        <v>4894</v>
      </c>
      <c r="G142" s="58">
        <v>24470</v>
      </c>
    </row>
    <row r="143" spans="1:7" x14ac:dyDescent="0.3">
      <c r="A143" s="58" t="s">
        <v>1590</v>
      </c>
      <c r="B143" s="58" t="s">
        <v>1599</v>
      </c>
      <c r="C143" s="58" t="s">
        <v>1588</v>
      </c>
      <c r="D143" s="58" t="s">
        <v>1587</v>
      </c>
      <c r="E143" s="58">
        <v>2</v>
      </c>
      <c r="F143" s="58">
        <v>27957</v>
      </c>
      <c r="G143" s="58">
        <v>55914</v>
      </c>
    </row>
    <row r="144" spans="1:7" x14ac:dyDescent="0.3">
      <c r="A144" s="58" t="s">
        <v>1602</v>
      </c>
      <c r="B144" s="58" t="s">
        <v>1605</v>
      </c>
      <c r="C144" s="58" t="s">
        <v>1603</v>
      </c>
      <c r="D144" s="58" t="s">
        <v>1598</v>
      </c>
      <c r="E144" s="58">
        <v>9</v>
      </c>
      <c r="F144" s="58">
        <v>25949</v>
      </c>
      <c r="G144" s="58">
        <v>233541</v>
      </c>
    </row>
    <row r="145" spans="1:7" x14ac:dyDescent="0.3">
      <c r="A145" s="58" t="s">
        <v>1601</v>
      </c>
      <c r="B145" s="58" t="s">
        <v>1589</v>
      </c>
      <c r="C145" s="58" t="s">
        <v>1588</v>
      </c>
      <c r="D145" s="58" t="s">
        <v>1587</v>
      </c>
      <c r="E145" s="58">
        <v>1</v>
      </c>
      <c r="F145" s="58">
        <v>12594</v>
      </c>
      <c r="G145" s="58">
        <v>12594</v>
      </c>
    </row>
    <row r="146" spans="1:7" x14ac:dyDescent="0.3">
      <c r="A146" s="58" t="s">
        <v>1590</v>
      </c>
      <c r="B146" s="58" t="s">
        <v>1589</v>
      </c>
      <c r="C146" s="58" t="s">
        <v>1588</v>
      </c>
      <c r="D146" s="58" t="s">
        <v>1606</v>
      </c>
      <c r="E146" s="58">
        <v>6</v>
      </c>
      <c r="F146" s="58">
        <v>28271</v>
      </c>
      <c r="G146" s="58">
        <v>169626</v>
      </c>
    </row>
    <row r="147" spans="1:7" x14ac:dyDescent="0.3">
      <c r="A147" s="58" t="s">
        <v>1590</v>
      </c>
      <c r="B147" s="58" t="s">
        <v>1599</v>
      </c>
      <c r="C147" s="58" t="s">
        <v>1596</v>
      </c>
      <c r="D147" s="58" t="s">
        <v>1598</v>
      </c>
      <c r="E147" s="58">
        <v>8</v>
      </c>
      <c r="F147" s="58">
        <v>19852</v>
      </c>
      <c r="G147" s="58">
        <v>158816</v>
      </c>
    </row>
    <row r="148" spans="1:7" x14ac:dyDescent="0.3">
      <c r="A148" s="58" t="s">
        <v>1601</v>
      </c>
      <c r="B148" s="58" t="s">
        <v>1605</v>
      </c>
      <c r="C148" s="58" t="s">
        <v>1592</v>
      </c>
      <c r="D148" s="58" t="s">
        <v>1591</v>
      </c>
      <c r="E148" s="58">
        <v>3</v>
      </c>
      <c r="F148" s="58">
        <v>20742</v>
      </c>
      <c r="G148" s="58">
        <v>62226</v>
      </c>
    </row>
    <row r="149" spans="1:7" x14ac:dyDescent="0.3">
      <c r="A149" s="58" t="s">
        <v>1593</v>
      </c>
      <c r="B149" s="58" t="s">
        <v>1599</v>
      </c>
      <c r="C149" s="58" t="s">
        <v>1596</v>
      </c>
      <c r="D149" s="58" t="s">
        <v>1587</v>
      </c>
      <c r="E149" s="58">
        <v>7</v>
      </c>
      <c r="F149" s="58">
        <v>25165</v>
      </c>
      <c r="G149" s="58">
        <v>176155</v>
      </c>
    </row>
    <row r="150" spans="1:7" x14ac:dyDescent="0.3">
      <c r="A150" s="58" t="s">
        <v>1593</v>
      </c>
      <c r="B150" s="58" t="s">
        <v>1589</v>
      </c>
      <c r="C150" s="58" t="s">
        <v>1595</v>
      </c>
      <c r="D150" s="58" t="s">
        <v>1600</v>
      </c>
      <c r="E150" s="58">
        <v>1</v>
      </c>
      <c r="F150" s="58">
        <v>25782</v>
      </c>
      <c r="G150" s="58">
        <v>25782</v>
      </c>
    </row>
    <row r="151" spans="1:7" x14ac:dyDescent="0.3">
      <c r="A151" s="58" t="s">
        <v>1593</v>
      </c>
      <c r="B151" s="58" t="s">
        <v>1589</v>
      </c>
      <c r="C151" s="58" t="s">
        <v>1595</v>
      </c>
      <c r="D151" s="58" t="s">
        <v>1587</v>
      </c>
      <c r="E151" s="58">
        <v>9</v>
      </c>
      <c r="F151" s="58">
        <v>24531</v>
      </c>
      <c r="G151" s="58">
        <v>220779</v>
      </c>
    </row>
    <row r="152" spans="1:7" x14ac:dyDescent="0.3">
      <c r="A152" s="58" t="s">
        <v>1601</v>
      </c>
      <c r="B152" s="58" t="s">
        <v>1599</v>
      </c>
      <c r="C152" s="58" t="s">
        <v>1588</v>
      </c>
      <c r="D152" s="58" t="s">
        <v>1594</v>
      </c>
      <c r="E152" s="58">
        <v>9</v>
      </c>
      <c r="F152" s="58">
        <v>11428</v>
      </c>
      <c r="G152" s="58">
        <v>102852</v>
      </c>
    </row>
    <row r="153" spans="1:7" x14ac:dyDescent="0.3">
      <c r="A153" s="58" t="s">
        <v>1602</v>
      </c>
      <c r="B153" s="58" t="s">
        <v>1599</v>
      </c>
      <c r="C153" s="58" t="s">
        <v>1596</v>
      </c>
      <c r="D153" s="58" t="s">
        <v>1598</v>
      </c>
      <c r="E153" s="58">
        <v>2</v>
      </c>
      <c r="F153" s="58">
        <v>13594</v>
      </c>
      <c r="G153" s="58">
        <v>27188</v>
      </c>
    </row>
    <row r="154" spans="1:7" x14ac:dyDescent="0.3">
      <c r="A154" s="58" t="s">
        <v>1604</v>
      </c>
      <c r="B154" s="58" t="s">
        <v>1589</v>
      </c>
      <c r="C154" s="58" t="s">
        <v>1592</v>
      </c>
      <c r="D154" s="58" t="s">
        <v>1587</v>
      </c>
      <c r="E154" s="58">
        <v>5</v>
      </c>
      <c r="F154" s="58">
        <v>2715</v>
      </c>
      <c r="G154" s="58">
        <v>13575</v>
      </c>
    </row>
    <row r="155" spans="1:7" x14ac:dyDescent="0.3">
      <c r="A155" s="58" t="s">
        <v>1601</v>
      </c>
      <c r="B155" s="58" t="s">
        <v>1589</v>
      </c>
      <c r="C155" s="58" t="s">
        <v>1596</v>
      </c>
      <c r="D155" s="58" t="s">
        <v>1600</v>
      </c>
      <c r="E155" s="58">
        <v>4</v>
      </c>
      <c r="F155" s="58">
        <v>9548</v>
      </c>
      <c r="G155" s="58">
        <v>38192</v>
      </c>
    </row>
    <row r="156" spans="1:7" x14ac:dyDescent="0.3">
      <c r="A156" s="58" t="s">
        <v>1601</v>
      </c>
      <c r="B156" s="58" t="s">
        <v>1599</v>
      </c>
      <c r="C156" s="58" t="s">
        <v>1595</v>
      </c>
      <c r="D156" s="58" t="s">
        <v>1594</v>
      </c>
      <c r="E156" s="58">
        <v>6</v>
      </c>
      <c r="F156" s="58">
        <v>14241</v>
      </c>
      <c r="G156" s="58">
        <v>85446</v>
      </c>
    </row>
    <row r="157" spans="1:7" x14ac:dyDescent="0.3">
      <c r="A157" s="58" t="s">
        <v>1593</v>
      </c>
      <c r="B157" s="58" t="s">
        <v>1589</v>
      </c>
      <c r="C157" s="58" t="s">
        <v>1588</v>
      </c>
      <c r="D157" s="58" t="s">
        <v>1591</v>
      </c>
      <c r="E157" s="58">
        <v>4</v>
      </c>
      <c r="F157" s="58">
        <v>25466</v>
      </c>
      <c r="G157" s="58">
        <v>101864</v>
      </c>
    </row>
    <row r="158" spans="1:7" x14ac:dyDescent="0.3">
      <c r="A158" s="58" t="s">
        <v>1601</v>
      </c>
      <c r="B158" s="58" t="s">
        <v>1605</v>
      </c>
      <c r="C158" s="58" t="s">
        <v>1603</v>
      </c>
      <c r="D158" s="58" t="s">
        <v>1600</v>
      </c>
      <c r="E158" s="58">
        <v>1</v>
      </c>
      <c r="F158" s="58">
        <v>9071</v>
      </c>
      <c r="G158" s="58">
        <v>9071</v>
      </c>
    </row>
    <row r="159" spans="1:7" x14ac:dyDescent="0.3">
      <c r="A159" s="58" t="s">
        <v>1602</v>
      </c>
      <c r="B159" s="58" t="s">
        <v>1605</v>
      </c>
      <c r="C159" s="58" t="s">
        <v>1588</v>
      </c>
      <c r="D159" s="58" t="s">
        <v>1606</v>
      </c>
      <c r="E159" s="58">
        <v>7</v>
      </c>
      <c r="F159" s="58">
        <v>29107</v>
      </c>
      <c r="G159" s="58">
        <v>203749</v>
      </c>
    </row>
    <row r="160" spans="1:7" x14ac:dyDescent="0.3">
      <c r="A160" s="58" t="s">
        <v>1590</v>
      </c>
      <c r="B160" s="58" t="s">
        <v>1597</v>
      </c>
      <c r="C160" s="58" t="s">
        <v>1596</v>
      </c>
      <c r="D160" s="58" t="s">
        <v>1606</v>
      </c>
      <c r="E160" s="58">
        <v>2</v>
      </c>
      <c r="F160" s="58">
        <v>4416</v>
      </c>
      <c r="G160" s="58">
        <v>8832</v>
      </c>
    </row>
    <row r="161" spans="1:7" x14ac:dyDescent="0.3">
      <c r="A161" s="58" t="s">
        <v>1590</v>
      </c>
      <c r="B161" s="58" t="s">
        <v>1599</v>
      </c>
      <c r="C161" s="58" t="s">
        <v>1603</v>
      </c>
      <c r="D161" s="58" t="s">
        <v>1594</v>
      </c>
      <c r="E161" s="58">
        <v>6</v>
      </c>
      <c r="F161" s="58">
        <v>11062</v>
      </c>
      <c r="G161" s="58">
        <v>66372</v>
      </c>
    </row>
    <row r="162" spans="1:7" x14ac:dyDescent="0.3">
      <c r="A162" s="58" t="s">
        <v>1602</v>
      </c>
      <c r="B162" s="58" t="s">
        <v>1589</v>
      </c>
      <c r="C162" s="58" t="s">
        <v>1603</v>
      </c>
      <c r="D162" s="58" t="s">
        <v>1598</v>
      </c>
      <c r="E162" s="58">
        <v>8</v>
      </c>
      <c r="F162" s="58">
        <v>21026</v>
      </c>
      <c r="G162" s="58">
        <v>168208</v>
      </c>
    </row>
    <row r="163" spans="1:7" x14ac:dyDescent="0.3">
      <c r="A163" s="58" t="s">
        <v>1601</v>
      </c>
      <c r="B163" s="58" t="s">
        <v>1597</v>
      </c>
      <c r="C163" s="58" t="s">
        <v>1603</v>
      </c>
      <c r="D163" s="58" t="s">
        <v>1591</v>
      </c>
      <c r="E163" s="58">
        <v>6</v>
      </c>
      <c r="F163" s="58">
        <v>16388</v>
      </c>
      <c r="G163" s="58">
        <v>98328</v>
      </c>
    </row>
    <row r="164" spans="1:7" x14ac:dyDescent="0.3">
      <c r="A164" s="58" t="s">
        <v>1593</v>
      </c>
      <c r="B164" s="58" t="s">
        <v>1589</v>
      </c>
      <c r="C164" s="58" t="s">
        <v>1596</v>
      </c>
      <c r="D164" s="58" t="s">
        <v>1600</v>
      </c>
      <c r="E164" s="58">
        <v>2</v>
      </c>
      <c r="F164" s="58">
        <v>1463</v>
      </c>
      <c r="G164" s="58">
        <v>2926</v>
      </c>
    </row>
    <row r="165" spans="1:7" x14ac:dyDescent="0.3">
      <c r="A165" s="58" t="s">
        <v>1601</v>
      </c>
      <c r="B165" s="58" t="s">
        <v>1605</v>
      </c>
      <c r="C165" s="58" t="s">
        <v>1595</v>
      </c>
      <c r="D165" s="58" t="s">
        <v>1591</v>
      </c>
      <c r="E165" s="58">
        <v>3</v>
      </c>
      <c r="F165" s="58">
        <v>22769</v>
      </c>
      <c r="G165" s="58">
        <v>68307</v>
      </c>
    </row>
    <row r="166" spans="1:7" x14ac:dyDescent="0.3">
      <c r="A166" s="58" t="s">
        <v>1593</v>
      </c>
      <c r="B166" s="58" t="s">
        <v>1589</v>
      </c>
      <c r="C166" s="58" t="s">
        <v>1588</v>
      </c>
      <c r="D166" s="58" t="s">
        <v>1606</v>
      </c>
      <c r="E166" s="58">
        <v>10</v>
      </c>
      <c r="F166" s="58">
        <v>12804</v>
      </c>
      <c r="G166" s="58">
        <v>128040</v>
      </c>
    </row>
    <row r="167" spans="1:7" x14ac:dyDescent="0.3">
      <c r="A167" s="58" t="s">
        <v>1602</v>
      </c>
      <c r="B167" s="58" t="s">
        <v>1599</v>
      </c>
      <c r="C167" s="58" t="s">
        <v>1592</v>
      </c>
      <c r="D167" s="58" t="s">
        <v>1591</v>
      </c>
      <c r="E167" s="58">
        <v>7</v>
      </c>
      <c r="F167" s="58">
        <v>8340</v>
      </c>
      <c r="G167" s="58">
        <v>58380</v>
      </c>
    </row>
    <row r="168" spans="1:7" x14ac:dyDescent="0.3">
      <c r="A168" s="58" t="s">
        <v>1593</v>
      </c>
      <c r="B168" s="58" t="s">
        <v>1599</v>
      </c>
      <c r="C168" s="58" t="s">
        <v>1592</v>
      </c>
      <c r="D168" s="58" t="s">
        <v>1594</v>
      </c>
      <c r="E168" s="58">
        <v>3</v>
      </c>
      <c r="F168" s="58">
        <v>21487</v>
      </c>
      <c r="G168" s="58">
        <v>64461</v>
      </c>
    </row>
    <row r="169" spans="1:7" x14ac:dyDescent="0.3">
      <c r="A169" s="58" t="s">
        <v>1601</v>
      </c>
      <c r="B169" s="58" t="s">
        <v>1605</v>
      </c>
      <c r="C169" s="58" t="s">
        <v>1588</v>
      </c>
      <c r="D169" s="58" t="s">
        <v>1600</v>
      </c>
      <c r="E169" s="58">
        <v>7</v>
      </c>
      <c r="F169" s="58">
        <v>7278</v>
      </c>
      <c r="G169" s="58">
        <v>50946</v>
      </c>
    </row>
    <row r="170" spans="1:7" x14ac:dyDescent="0.3">
      <c r="A170" s="58" t="s">
        <v>1590</v>
      </c>
      <c r="B170" s="58" t="s">
        <v>1589</v>
      </c>
      <c r="C170" s="58" t="s">
        <v>1592</v>
      </c>
      <c r="D170" s="58" t="s">
        <v>1600</v>
      </c>
      <c r="E170" s="58">
        <v>2</v>
      </c>
      <c r="F170" s="58">
        <v>3709</v>
      </c>
      <c r="G170" s="58">
        <v>7418</v>
      </c>
    </row>
    <row r="171" spans="1:7" x14ac:dyDescent="0.3">
      <c r="A171" s="58" t="s">
        <v>1601</v>
      </c>
      <c r="B171" s="58" t="s">
        <v>1597</v>
      </c>
      <c r="C171" s="58" t="s">
        <v>1592</v>
      </c>
      <c r="D171" s="58" t="s">
        <v>1606</v>
      </c>
      <c r="E171" s="58">
        <v>8</v>
      </c>
      <c r="F171" s="58">
        <v>23046</v>
      </c>
      <c r="G171" s="58">
        <v>184368</v>
      </c>
    </row>
    <row r="172" spans="1:7" x14ac:dyDescent="0.3">
      <c r="A172" s="58" t="s">
        <v>1593</v>
      </c>
      <c r="B172" s="58" t="s">
        <v>1605</v>
      </c>
      <c r="C172" s="58" t="s">
        <v>1603</v>
      </c>
      <c r="D172" s="58" t="s">
        <v>1600</v>
      </c>
      <c r="E172" s="58">
        <v>4</v>
      </c>
      <c r="F172" s="58">
        <v>11864</v>
      </c>
      <c r="G172" s="58">
        <v>47456</v>
      </c>
    </row>
    <row r="173" spans="1:7" x14ac:dyDescent="0.3">
      <c r="A173" s="58" t="s">
        <v>1601</v>
      </c>
      <c r="B173" s="58" t="s">
        <v>1605</v>
      </c>
      <c r="C173" s="58" t="s">
        <v>1595</v>
      </c>
      <c r="D173" s="58" t="s">
        <v>1591</v>
      </c>
      <c r="E173" s="58">
        <v>7</v>
      </c>
      <c r="F173" s="58">
        <v>15241</v>
      </c>
      <c r="G173" s="58">
        <v>106687</v>
      </c>
    </row>
    <row r="174" spans="1:7" x14ac:dyDescent="0.3">
      <c r="A174" s="58" t="s">
        <v>1601</v>
      </c>
      <c r="B174" s="58" t="s">
        <v>1599</v>
      </c>
      <c r="C174" s="58" t="s">
        <v>1588</v>
      </c>
      <c r="D174" s="58" t="s">
        <v>1606</v>
      </c>
      <c r="E174" s="58">
        <v>7</v>
      </c>
      <c r="F174" s="58">
        <v>14428</v>
      </c>
      <c r="G174" s="58">
        <v>100996</v>
      </c>
    </row>
    <row r="175" spans="1:7" x14ac:dyDescent="0.3">
      <c r="A175" s="58" t="s">
        <v>1593</v>
      </c>
      <c r="B175" s="58" t="s">
        <v>1589</v>
      </c>
      <c r="C175" s="58" t="s">
        <v>1592</v>
      </c>
      <c r="D175" s="58" t="s">
        <v>1600</v>
      </c>
      <c r="E175" s="58">
        <v>10</v>
      </c>
      <c r="F175" s="58">
        <v>20923</v>
      </c>
      <c r="G175" s="58">
        <v>209230</v>
      </c>
    </row>
    <row r="176" spans="1:7" x14ac:dyDescent="0.3">
      <c r="A176" s="58" t="s">
        <v>1593</v>
      </c>
      <c r="B176" s="58" t="s">
        <v>1599</v>
      </c>
      <c r="C176" s="58" t="s">
        <v>1592</v>
      </c>
      <c r="D176" s="58" t="s">
        <v>1594</v>
      </c>
      <c r="E176" s="58">
        <v>10</v>
      </c>
      <c r="F176" s="58">
        <v>5041</v>
      </c>
      <c r="G176" s="58">
        <v>50410</v>
      </c>
    </row>
    <row r="177" spans="1:7" x14ac:dyDescent="0.3">
      <c r="A177" s="58" t="s">
        <v>1602</v>
      </c>
      <c r="B177" s="58" t="s">
        <v>1605</v>
      </c>
      <c r="C177" s="58" t="s">
        <v>1603</v>
      </c>
      <c r="D177" s="58" t="s">
        <v>1591</v>
      </c>
      <c r="E177" s="58">
        <v>10</v>
      </c>
      <c r="F177" s="58">
        <v>14634</v>
      </c>
      <c r="G177" s="58">
        <v>146340</v>
      </c>
    </row>
    <row r="178" spans="1:7" x14ac:dyDescent="0.3">
      <c r="A178" s="58" t="s">
        <v>1602</v>
      </c>
      <c r="B178" s="58" t="s">
        <v>1597</v>
      </c>
      <c r="C178" s="58" t="s">
        <v>1588</v>
      </c>
      <c r="D178" s="58" t="s">
        <v>1587</v>
      </c>
      <c r="E178" s="58">
        <v>9</v>
      </c>
      <c r="F178" s="58">
        <v>2161</v>
      </c>
      <c r="G178" s="58">
        <v>19449</v>
      </c>
    </row>
    <row r="179" spans="1:7" x14ac:dyDescent="0.3">
      <c r="A179" s="58" t="s">
        <v>1593</v>
      </c>
      <c r="B179" s="58" t="s">
        <v>1589</v>
      </c>
      <c r="C179" s="58" t="s">
        <v>1592</v>
      </c>
      <c r="D179" s="58" t="s">
        <v>1587</v>
      </c>
      <c r="E179" s="58">
        <v>10</v>
      </c>
      <c r="F179" s="58">
        <v>10931</v>
      </c>
      <c r="G179" s="58">
        <v>109310</v>
      </c>
    </row>
    <row r="180" spans="1:7" x14ac:dyDescent="0.3">
      <c r="A180" s="58" t="s">
        <v>1601</v>
      </c>
      <c r="B180" s="58" t="s">
        <v>1589</v>
      </c>
      <c r="C180" s="58" t="s">
        <v>1603</v>
      </c>
      <c r="D180" s="58" t="s">
        <v>1591</v>
      </c>
      <c r="E180" s="58">
        <v>8</v>
      </c>
      <c r="F180" s="58">
        <v>5964</v>
      </c>
      <c r="G180" s="58">
        <v>47712</v>
      </c>
    </row>
    <row r="181" spans="1:7" x14ac:dyDescent="0.3">
      <c r="A181" s="58" t="s">
        <v>1590</v>
      </c>
      <c r="B181" s="58" t="s">
        <v>1597</v>
      </c>
      <c r="C181" s="58" t="s">
        <v>1596</v>
      </c>
      <c r="D181" s="58" t="s">
        <v>1591</v>
      </c>
      <c r="E181" s="58">
        <v>1</v>
      </c>
      <c r="F181" s="58">
        <v>11854</v>
      </c>
      <c r="G181" s="58">
        <v>11854</v>
      </c>
    </row>
    <row r="182" spans="1:7" x14ac:dyDescent="0.3">
      <c r="A182" s="58" t="s">
        <v>1590</v>
      </c>
      <c r="B182" s="58" t="s">
        <v>1599</v>
      </c>
      <c r="C182" s="58" t="s">
        <v>1592</v>
      </c>
      <c r="D182" s="58" t="s">
        <v>1600</v>
      </c>
      <c r="E182" s="58">
        <v>2</v>
      </c>
      <c r="F182" s="58">
        <v>28164</v>
      </c>
      <c r="G182" s="58">
        <v>56328</v>
      </c>
    </row>
    <row r="183" spans="1:7" x14ac:dyDescent="0.3">
      <c r="A183" s="58" t="s">
        <v>1593</v>
      </c>
      <c r="B183" s="58" t="s">
        <v>1599</v>
      </c>
      <c r="C183" s="58" t="s">
        <v>1588</v>
      </c>
      <c r="D183" s="58" t="s">
        <v>1587</v>
      </c>
      <c r="E183" s="58">
        <v>4</v>
      </c>
      <c r="F183" s="58">
        <v>9506</v>
      </c>
      <c r="G183" s="58">
        <v>38024</v>
      </c>
    </row>
    <row r="184" spans="1:7" x14ac:dyDescent="0.3">
      <c r="A184" s="58" t="s">
        <v>1601</v>
      </c>
      <c r="B184" s="58" t="s">
        <v>1597</v>
      </c>
      <c r="C184" s="58" t="s">
        <v>1603</v>
      </c>
      <c r="D184" s="58" t="s">
        <v>1591</v>
      </c>
      <c r="E184" s="58">
        <v>6</v>
      </c>
      <c r="F184" s="58">
        <v>20609</v>
      </c>
      <c r="G184" s="58">
        <v>123654</v>
      </c>
    </row>
    <row r="185" spans="1:7" x14ac:dyDescent="0.3">
      <c r="A185" s="58" t="s">
        <v>1604</v>
      </c>
      <c r="B185" s="58" t="s">
        <v>1605</v>
      </c>
      <c r="C185" s="58" t="s">
        <v>1592</v>
      </c>
      <c r="D185" s="58" t="s">
        <v>1591</v>
      </c>
      <c r="E185" s="58">
        <v>5</v>
      </c>
      <c r="F185" s="58">
        <v>21018</v>
      </c>
      <c r="G185" s="58">
        <v>105090</v>
      </c>
    </row>
    <row r="186" spans="1:7" x14ac:dyDescent="0.3">
      <c r="A186" s="58" t="s">
        <v>1604</v>
      </c>
      <c r="B186" s="58" t="s">
        <v>1599</v>
      </c>
      <c r="C186" s="58" t="s">
        <v>1595</v>
      </c>
      <c r="D186" s="58" t="s">
        <v>1594</v>
      </c>
      <c r="E186" s="58">
        <v>5</v>
      </c>
      <c r="F186" s="58">
        <v>16527</v>
      </c>
      <c r="G186" s="58">
        <v>82635</v>
      </c>
    </row>
    <row r="187" spans="1:7" x14ac:dyDescent="0.3">
      <c r="A187" s="58" t="s">
        <v>1593</v>
      </c>
      <c r="B187" s="58" t="s">
        <v>1597</v>
      </c>
      <c r="C187" s="58" t="s">
        <v>1603</v>
      </c>
      <c r="D187" s="58" t="s">
        <v>1600</v>
      </c>
      <c r="E187" s="58">
        <v>5</v>
      </c>
      <c r="F187" s="58">
        <v>12438</v>
      </c>
      <c r="G187" s="58">
        <v>62190</v>
      </c>
    </row>
    <row r="188" spans="1:7" x14ac:dyDescent="0.3">
      <c r="A188" s="58" t="s">
        <v>1602</v>
      </c>
      <c r="B188" s="58" t="s">
        <v>1599</v>
      </c>
      <c r="C188" s="58" t="s">
        <v>1596</v>
      </c>
      <c r="D188" s="58" t="s">
        <v>1587</v>
      </c>
      <c r="E188" s="58">
        <v>2</v>
      </c>
      <c r="F188" s="58">
        <v>10562</v>
      </c>
      <c r="G188" s="58">
        <v>21124</v>
      </c>
    </row>
    <row r="189" spans="1:7" x14ac:dyDescent="0.3">
      <c r="A189" s="58" t="s">
        <v>1593</v>
      </c>
      <c r="B189" s="58" t="s">
        <v>1605</v>
      </c>
      <c r="C189" s="58" t="s">
        <v>1592</v>
      </c>
      <c r="D189" s="58" t="s">
        <v>1600</v>
      </c>
      <c r="E189" s="58">
        <v>7</v>
      </c>
      <c r="F189" s="58">
        <v>23949</v>
      </c>
      <c r="G189" s="58">
        <v>167643</v>
      </c>
    </row>
    <row r="190" spans="1:7" x14ac:dyDescent="0.3">
      <c r="A190" s="58" t="s">
        <v>1604</v>
      </c>
      <c r="B190" s="58" t="s">
        <v>1605</v>
      </c>
      <c r="C190" s="58" t="s">
        <v>1603</v>
      </c>
      <c r="D190" s="58" t="s">
        <v>1594</v>
      </c>
      <c r="E190" s="58">
        <v>2</v>
      </c>
      <c r="F190" s="58">
        <v>7057</v>
      </c>
      <c r="G190" s="58">
        <v>14114</v>
      </c>
    </row>
    <row r="191" spans="1:7" x14ac:dyDescent="0.3">
      <c r="A191" s="58" t="s">
        <v>1601</v>
      </c>
      <c r="B191" s="58" t="s">
        <v>1589</v>
      </c>
      <c r="C191" s="58" t="s">
        <v>1595</v>
      </c>
      <c r="D191" s="58" t="s">
        <v>1600</v>
      </c>
      <c r="E191" s="58">
        <v>9</v>
      </c>
      <c r="F191" s="58">
        <v>12382</v>
      </c>
      <c r="G191" s="58">
        <v>111438</v>
      </c>
    </row>
    <row r="192" spans="1:7" x14ac:dyDescent="0.3">
      <c r="A192" s="58" t="s">
        <v>1590</v>
      </c>
      <c r="B192" s="58" t="s">
        <v>1599</v>
      </c>
      <c r="C192" s="58" t="s">
        <v>1603</v>
      </c>
      <c r="D192" s="58" t="s">
        <v>1598</v>
      </c>
      <c r="E192" s="58">
        <v>1</v>
      </c>
      <c r="F192" s="58">
        <v>17650</v>
      </c>
      <c r="G192" s="58">
        <v>17650</v>
      </c>
    </row>
    <row r="193" spans="1:7" x14ac:dyDescent="0.3">
      <c r="A193" s="58" t="s">
        <v>1593</v>
      </c>
      <c r="B193" s="58" t="s">
        <v>1605</v>
      </c>
      <c r="C193" s="58" t="s">
        <v>1592</v>
      </c>
      <c r="D193" s="58" t="s">
        <v>1591</v>
      </c>
      <c r="E193" s="58">
        <v>9</v>
      </c>
      <c r="F193" s="58">
        <v>17022</v>
      </c>
      <c r="G193" s="58">
        <v>153198</v>
      </c>
    </row>
    <row r="194" spans="1:7" x14ac:dyDescent="0.3">
      <c r="A194" s="58" t="s">
        <v>1602</v>
      </c>
      <c r="B194" s="58" t="s">
        <v>1599</v>
      </c>
      <c r="C194" s="58" t="s">
        <v>1596</v>
      </c>
      <c r="D194" s="58" t="s">
        <v>1606</v>
      </c>
      <c r="E194" s="58">
        <v>5</v>
      </c>
      <c r="F194" s="58">
        <v>23642</v>
      </c>
      <c r="G194" s="58">
        <v>118210</v>
      </c>
    </row>
    <row r="195" spans="1:7" x14ac:dyDescent="0.3">
      <c r="A195" s="58" t="s">
        <v>1601</v>
      </c>
      <c r="B195" s="58" t="s">
        <v>1605</v>
      </c>
      <c r="C195" s="58" t="s">
        <v>1595</v>
      </c>
      <c r="D195" s="58" t="s">
        <v>1594</v>
      </c>
      <c r="E195" s="58">
        <v>6</v>
      </c>
      <c r="F195" s="58">
        <v>11825</v>
      </c>
      <c r="G195" s="58">
        <v>70950</v>
      </c>
    </row>
    <row r="196" spans="1:7" x14ac:dyDescent="0.3">
      <c r="A196" s="58" t="s">
        <v>1602</v>
      </c>
      <c r="B196" s="58" t="s">
        <v>1599</v>
      </c>
      <c r="C196" s="58" t="s">
        <v>1603</v>
      </c>
      <c r="D196" s="58" t="s">
        <v>1600</v>
      </c>
      <c r="E196" s="58">
        <v>1</v>
      </c>
      <c r="F196" s="58">
        <v>14989</v>
      </c>
      <c r="G196" s="58">
        <v>14989</v>
      </c>
    </row>
    <row r="197" spans="1:7" x14ac:dyDescent="0.3">
      <c r="A197" s="58" t="s">
        <v>1590</v>
      </c>
      <c r="B197" s="58" t="s">
        <v>1597</v>
      </c>
      <c r="C197" s="58" t="s">
        <v>1588</v>
      </c>
      <c r="D197" s="58" t="s">
        <v>1598</v>
      </c>
      <c r="E197" s="58">
        <v>3</v>
      </c>
      <c r="F197" s="58">
        <v>18643</v>
      </c>
      <c r="G197" s="58">
        <v>55929</v>
      </c>
    </row>
    <row r="198" spans="1:7" x14ac:dyDescent="0.3">
      <c r="A198" s="58" t="s">
        <v>1602</v>
      </c>
      <c r="B198" s="58" t="s">
        <v>1605</v>
      </c>
      <c r="C198" s="58" t="s">
        <v>1603</v>
      </c>
      <c r="D198" s="58" t="s">
        <v>1591</v>
      </c>
      <c r="E198" s="58">
        <v>1</v>
      </c>
      <c r="F198" s="58">
        <v>14377</v>
      </c>
      <c r="G198" s="58">
        <v>14377</v>
      </c>
    </row>
    <row r="199" spans="1:7" x14ac:dyDescent="0.3">
      <c r="A199" s="58" t="s">
        <v>1601</v>
      </c>
      <c r="B199" s="58" t="s">
        <v>1599</v>
      </c>
      <c r="C199" s="58" t="s">
        <v>1588</v>
      </c>
      <c r="D199" s="58" t="s">
        <v>1591</v>
      </c>
      <c r="E199" s="58">
        <v>1</v>
      </c>
      <c r="F199" s="58">
        <v>5155</v>
      </c>
      <c r="G199" s="58">
        <v>5155</v>
      </c>
    </row>
    <row r="200" spans="1:7" x14ac:dyDescent="0.3">
      <c r="A200" s="58" t="s">
        <v>1590</v>
      </c>
      <c r="B200" s="58" t="s">
        <v>1589</v>
      </c>
      <c r="C200" s="58" t="s">
        <v>1588</v>
      </c>
      <c r="D200" s="58" t="s">
        <v>1606</v>
      </c>
      <c r="E200" s="58">
        <v>2</v>
      </c>
      <c r="F200" s="58">
        <v>19727</v>
      </c>
      <c r="G200" s="58">
        <v>39454</v>
      </c>
    </row>
    <row r="201" spans="1:7" x14ac:dyDescent="0.3">
      <c r="A201" s="58" t="s">
        <v>1601</v>
      </c>
      <c r="B201" s="58" t="s">
        <v>1589</v>
      </c>
      <c r="C201" s="58" t="s">
        <v>1592</v>
      </c>
      <c r="D201" s="58" t="s">
        <v>1606</v>
      </c>
      <c r="E201" s="58">
        <v>7</v>
      </c>
      <c r="F201" s="58">
        <v>25704</v>
      </c>
      <c r="G201" s="58">
        <v>179928</v>
      </c>
    </row>
    <row r="202" spans="1:7" x14ac:dyDescent="0.3">
      <c r="A202" s="58" t="s">
        <v>1593</v>
      </c>
      <c r="B202" s="58" t="s">
        <v>1589</v>
      </c>
      <c r="C202" s="58" t="s">
        <v>1588</v>
      </c>
      <c r="D202" s="58" t="s">
        <v>1587</v>
      </c>
      <c r="E202" s="58">
        <v>1</v>
      </c>
      <c r="F202" s="58">
        <v>23605</v>
      </c>
      <c r="G202" s="58">
        <v>23605</v>
      </c>
    </row>
    <row r="203" spans="1:7" x14ac:dyDescent="0.3">
      <c r="A203" s="58" t="s">
        <v>1602</v>
      </c>
      <c r="B203" s="58" t="s">
        <v>1599</v>
      </c>
      <c r="C203" s="58" t="s">
        <v>1595</v>
      </c>
      <c r="D203" s="58" t="s">
        <v>1600</v>
      </c>
      <c r="E203" s="58">
        <v>5</v>
      </c>
      <c r="F203" s="58">
        <v>27924</v>
      </c>
      <c r="G203" s="58">
        <v>139620</v>
      </c>
    </row>
    <row r="204" spans="1:7" x14ac:dyDescent="0.3">
      <c r="A204" s="58" t="s">
        <v>1593</v>
      </c>
      <c r="B204" s="58" t="s">
        <v>1605</v>
      </c>
      <c r="C204" s="58" t="s">
        <v>1603</v>
      </c>
      <c r="D204" s="58" t="s">
        <v>1598</v>
      </c>
      <c r="E204" s="58">
        <v>5</v>
      </c>
      <c r="F204" s="58">
        <v>11494</v>
      </c>
      <c r="G204" s="58">
        <v>57470</v>
      </c>
    </row>
    <row r="205" spans="1:7" x14ac:dyDescent="0.3">
      <c r="A205" s="58" t="s">
        <v>1601</v>
      </c>
      <c r="B205" s="58" t="s">
        <v>1599</v>
      </c>
      <c r="C205" s="58" t="s">
        <v>1588</v>
      </c>
      <c r="D205" s="58" t="s">
        <v>1606</v>
      </c>
      <c r="E205" s="58">
        <v>7</v>
      </c>
      <c r="F205" s="58">
        <v>9174</v>
      </c>
      <c r="G205" s="58">
        <v>64218</v>
      </c>
    </row>
    <row r="206" spans="1:7" x14ac:dyDescent="0.3">
      <c r="A206" s="58" t="s">
        <v>1602</v>
      </c>
      <c r="B206" s="58" t="s">
        <v>1597</v>
      </c>
      <c r="C206" s="58" t="s">
        <v>1596</v>
      </c>
      <c r="D206" s="58" t="s">
        <v>1591</v>
      </c>
      <c r="E206" s="58">
        <v>9</v>
      </c>
      <c r="F206" s="58">
        <v>27975</v>
      </c>
      <c r="G206" s="58">
        <v>251775</v>
      </c>
    </row>
    <row r="207" spans="1:7" x14ac:dyDescent="0.3">
      <c r="A207" s="58" t="s">
        <v>1590</v>
      </c>
      <c r="B207" s="58" t="s">
        <v>1597</v>
      </c>
      <c r="C207" s="58" t="s">
        <v>1595</v>
      </c>
      <c r="D207" s="58" t="s">
        <v>1591</v>
      </c>
      <c r="E207" s="58">
        <v>5</v>
      </c>
      <c r="F207" s="58">
        <v>25030</v>
      </c>
      <c r="G207" s="58">
        <v>125150</v>
      </c>
    </row>
    <row r="208" spans="1:7" x14ac:dyDescent="0.3">
      <c r="A208" s="58" t="s">
        <v>1604</v>
      </c>
      <c r="B208" s="58" t="s">
        <v>1597</v>
      </c>
      <c r="C208" s="58" t="s">
        <v>1592</v>
      </c>
      <c r="D208" s="58" t="s">
        <v>1591</v>
      </c>
      <c r="E208" s="58">
        <v>8</v>
      </c>
      <c r="F208" s="58">
        <v>18073</v>
      </c>
      <c r="G208" s="58">
        <v>144584</v>
      </c>
    </row>
    <row r="209" spans="1:7" x14ac:dyDescent="0.3">
      <c r="A209" s="58" t="s">
        <v>1593</v>
      </c>
      <c r="B209" s="58" t="s">
        <v>1599</v>
      </c>
      <c r="C209" s="58" t="s">
        <v>1588</v>
      </c>
      <c r="D209" s="58" t="s">
        <v>1594</v>
      </c>
      <c r="E209" s="58">
        <v>2</v>
      </c>
      <c r="F209" s="58">
        <v>29086</v>
      </c>
      <c r="G209" s="58">
        <v>58172</v>
      </c>
    </row>
    <row r="210" spans="1:7" x14ac:dyDescent="0.3">
      <c r="A210" s="58" t="s">
        <v>1604</v>
      </c>
      <c r="B210" s="58" t="s">
        <v>1599</v>
      </c>
      <c r="C210" s="58" t="s">
        <v>1588</v>
      </c>
      <c r="D210" s="58" t="s">
        <v>1606</v>
      </c>
      <c r="E210" s="58">
        <v>10</v>
      </c>
      <c r="F210" s="58">
        <v>6783</v>
      </c>
      <c r="G210" s="58">
        <v>67830</v>
      </c>
    </row>
    <row r="211" spans="1:7" x14ac:dyDescent="0.3">
      <c r="A211" s="58" t="s">
        <v>1590</v>
      </c>
      <c r="B211" s="58" t="s">
        <v>1589</v>
      </c>
      <c r="C211" s="58" t="s">
        <v>1588</v>
      </c>
      <c r="D211" s="58" t="s">
        <v>1600</v>
      </c>
      <c r="E211" s="58">
        <v>8</v>
      </c>
      <c r="F211" s="58">
        <v>1345</v>
      </c>
      <c r="G211" s="58">
        <v>10760</v>
      </c>
    </row>
    <row r="212" spans="1:7" x14ac:dyDescent="0.3">
      <c r="A212" s="58" t="s">
        <v>1593</v>
      </c>
      <c r="B212" s="58" t="s">
        <v>1589</v>
      </c>
      <c r="C212" s="58" t="s">
        <v>1595</v>
      </c>
      <c r="D212" s="58" t="s">
        <v>1600</v>
      </c>
      <c r="E212" s="58">
        <v>2</v>
      </c>
      <c r="F212" s="58">
        <v>27383</v>
      </c>
      <c r="G212" s="58">
        <v>54766</v>
      </c>
    </row>
    <row r="213" spans="1:7" x14ac:dyDescent="0.3">
      <c r="A213" s="58" t="s">
        <v>1602</v>
      </c>
      <c r="B213" s="58" t="s">
        <v>1589</v>
      </c>
      <c r="C213" s="58" t="s">
        <v>1603</v>
      </c>
      <c r="D213" s="58" t="s">
        <v>1600</v>
      </c>
      <c r="E213" s="58">
        <v>1</v>
      </c>
      <c r="F213" s="58">
        <v>16579</v>
      </c>
      <c r="G213" s="58">
        <v>16579</v>
      </c>
    </row>
    <row r="214" spans="1:7" x14ac:dyDescent="0.3">
      <c r="A214" s="58" t="s">
        <v>1593</v>
      </c>
      <c r="B214" s="58" t="s">
        <v>1605</v>
      </c>
      <c r="C214" s="58" t="s">
        <v>1596</v>
      </c>
      <c r="D214" s="58" t="s">
        <v>1587</v>
      </c>
      <c r="E214" s="58">
        <v>10</v>
      </c>
      <c r="F214" s="58">
        <v>18260</v>
      </c>
      <c r="G214" s="58">
        <v>182600</v>
      </c>
    </row>
    <row r="215" spans="1:7" x14ac:dyDescent="0.3">
      <c r="A215" s="58" t="s">
        <v>1590</v>
      </c>
      <c r="B215" s="58" t="s">
        <v>1589</v>
      </c>
      <c r="C215" s="58" t="s">
        <v>1592</v>
      </c>
      <c r="D215" s="58" t="s">
        <v>1606</v>
      </c>
      <c r="E215" s="58">
        <v>1</v>
      </c>
      <c r="F215" s="58">
        <v>22002</v>
      </c>
      <c r="G215" s="58">
        <v>22002</v>
      </c>
    </row>
    <row r="216" spans="1:7" x14ac:dyDescent="0.3">
      <c r="A216" s="58" t="s">
        <v>1601</v>
      </c>
      <c r="B216" s="58" t="s">
        <v>1605</v>
      </c>
      <c r="C216" s="58" t="s">
        <v>1592</v>
      </c>
      <c r="D216" s="58" t="s">
        <v>1591</v>
      </c>
      <c r="E216" s="58">
        <v>5</v>
      </c>
      <c r="F216" s="58">
        <v>13533</v>
      </c>
      <c r="G216" s="58">
        <v>67665</v>
      </c>
    </row>
    <row r="217" spans="1:7" x14ac:dyDescent="0.3">
      <c r="A217" s="58" t="s">
        <v>1593</v>
      </c>
      <c r="B217" s="58" t="s">
        <v>1605</v>
      </c>
      <c r="C217" s="58" t="s">
        <v>1588</v>
      </c>
      <c r="D217" s="58" t="s">
        <v>1591</v>
      </c>
      <c r="E217" s="58">
        <v>1</v>
      </c>
      <c r="F217" s="58">
        <v>14578</v>
      </c>
      <c r="G217" s="58">
        <v>14578</v>
      </c>
    </row>
    <row r="218" spans="1:7" x14ac:dyDescent="0.3">
      <c r="A218" s="58" t="s">
        <v>1601</v>
      </c>
      <c r="B218" s="58" t="s">
        <v>1605</v>
      </c>
      <c r="C218" s="58" t="s">
        <v>1595</v>
      </c>
      <c r="D218" s="58" t="s">
        <v>1598</v>
      </c>
      <c r="E218" s="58">
        <v>5</v>
      </c>
      <c r="F218" s="58">
        <v>19785</v>
      </c>
      <c r="G218" s="58">
        <v>98925</v>
      </c>
    </row>
    <row r="219" spans="1:7" x14ac:dyDescent="0.3">
      <c r="A219" s="58" t="s">
        <v>1593</v>
      </c>
      <c r="B219" s="58" t="s">
        <v>1605</v>
      </c>
      <c r="C219" s="58" t="s">
        <v>1595</v>
      </c>
      <c r="D219" s="58" t="s">
        <v>1591</v>
      </c>
      <c r="E219" s="58">
        <v>2</v>
      </c>
      <c r="F219" s="58">
        <v>13302</v>
      </c>
      <c r="G219" s="58">
        <v>26604</v>
      </c>
    </row>
    <row r="220" spans="1:7" x14ac:dyDescent="0.3">
      <c r="A220" s="58" t="s">
        <v>1593</v>
      </c>
      <c r="B220" s="58" t="s">
        <v>1597</v>
      </c>
      <c r="C220" s="58" t="s">
        <v>1603</v>
      </c>
      <c r="D220" s="58" t="s">
        <v>1594</v>
      </c>
      <c r="E220" s="58">
        <v>2</v>
      </c>
      <c r="F220" s="58">
        <v>15541</v>
      </c>
      <c r="G220" s="58">
        <v>31082</v>
      </c>
    </row>
    <row r="221" spans="1:7" x14ac:dyDescent="0.3">
      <c r="A221" s="58" t="s">
        <v>1601</v>
      </c>
      <c r="B221" s="58" t="s">
        <v>1605</v>
      </c>
      <c r="C221" s="58" t="s">
        <v>1595</v>
      </c>
      <c r="D221" s="58" t="s">
        <v>1591</v>
      </c>
      <c r="E221" s="58">
        <v>8</v>
      </c>
      <c r="F221" s="58">
        <v>28206</v>
      </c>
      <c r="G221" s="58">
        <v>225648</v>
      </c>
    </row>
    <row r="222" spans="1:7" x14ac:dyDescent="0.3">
      <c r="A222" s="58" t="s">
        <v>1590</v>
      </c>
      <c r="B222" s="58" t="s">
        <v>1589</v>
      </c>
      <c r="C222" s="58" t="s">
        <v>1592</v>
      </c>
      <c r="D222" s="58" t="s">
        <v>1606</v>
      </c>
      <c r="E222" s="58">
        <v>1</v>
      </c>
      <c r="F222" s="58">
        <v>22584</v>
      </c>
      <c r="G222" s="58">
        <v>22584</v>
      </c>
    </row>
    <row r="223" spans="1:7" x14ac:dyDescent="0.3">
      <c r="A223" s="58" t="s">
        <v>1602</v>
      </c>
      <c r="B223" s="58" t="s">
        <v>1597</v>
      </c>
      <c r="C223" s="58" t="s">
        <v>1588</v>
      </c>
      <c r="D223" s="58" t="s">
        <v>1587</v>
      </c>
      <c r="E223" s="58">
        <v>9</v>
      </c>
      <c r="F223" s="58">
        <v>6326</v>
      </c>
      <c r="G223" s="58">
        <v>56934</v>
      </c>
    </row>
    <row r="224" spans="1:7" x14ac:dyDescent="0.3">
      <c r="A224" s="58" t="s">
        <v>1602</v>
      </c>
      <c r="B224" s="58" t="s">
        <v>1589</v>
      </c>
      <c r="C224" s="58" t="s">
        <v>1592</v>
      </c>
      <c r="D224" s="58" t="s">
        <v>1591</v>
      </c>
      <c r="E224" s="58">
        <v>2</v>
      </c>
      <c r="F224" s="58">
        <v>28446</v>
      </c>
      <c r="G224" s="58">
        <v>56892</v>
      </c>
    </row>
    <row r="225" spans="1:7" x14ac:dyDescent="0.3">
      <c r="A225" s="58" t="s">
        <v>1604</v>
      </c>
      <c r="B225" s="58" t="s">
        <v>1597</v>
      </c>
      <c r="C225" s="58" t="s">
        <v>1603</v>
      </c>
      <c r="D225" s="58" t="s">
        <v>1591</v>
      </c>
      <c r="E225" s="58">
        <v>4</v>
      </c>
      <c r="F225" s="58">
        <v>9446</v>
      </c>
      <c r="G225" s="58">
        <v>37784</v>
      </c>
    </row>
    <row r="226" spans="1:7" x14ac:dyDescent="0.3">
      <c r="A226" s="58" t="s">
        <v>1593</v>
      </c>
      <c r="B226" s="58" t="s">
        <v>1599</v>
      </c>
      <c r="C226" s="58" t="s">
        <v>1592</v>
      </c>
      <c r="D226" s="58" t="s">
        <v>1591</v>
      </c>
      <c r="E226" s="58">
        <v>2</v>
      </c>
      <c r="F226" s="58">
        <v>3557</v>
      </c>
      <c r="G226" s="58">
        <v>7114</v>
      </c>
    </row>
    <row r="227" spans="1:7" x14ac:dyDescent="0.3">
      <c r="A227" s="58" t="s">
        <v>1593</v>
      </c>
      <c r="B227" s="58" t="s">
        <v>1589</v>
      </c>
      <c r="C227" s="58" t="s">
        <v>1588</v>
      </c>
      <c r="D227" s="58" t="s">
        <v>1591</v>
      </c>
      <c r="E227" s="58">
        <v>8</v>
      </c>
      <c r="F227" s="58">
        <v>26976</v>
      </c>
      <c r="G227" s="58">
        <v>215808</v>
      </c>
    </row>
    <row r="228" spans="1:7" x14ac:dyDescent="0.3">
      <c r="A228" s="58" t="s">
        <v>1601</v>
      </c>
      <c r="B228" s="58" t="s">
        <v>1605</v>
      </c>
      <c r="C228" s="58" t="s">
        <v>1603</v>
      </c>
      <c r="D228" s="58" t="s">
        <v>1598</v>
      </c>
      <c r="E228" s="58">
        <v>5</v>
      </c>
      <c r="F228" s="58">
        <v>1891</v>
      </c>
      <c r="G228" s="58">
        <v>9455</v>
      </c>
    </row>
    <row r="229" spans="1:7" x14ac:dyDescent="0.3">
      <c r="A229" s="58" t="s">
        <v>1602</v>
      </c>
      <c r="B229" s="58" t="s">
        <v>1589</v>
      </c>
      <c r="C229" s="58" t="s">
        <v>1595</v>
      </c>
      <c r="D229" s="58" t="s">
        <v>1600</v>
      </c>
      <c r="E229" s="58">
        <v>3</v>
      </c>
      <c r="F229" s="58">
        <v>27439</v>
      </c>
      <c r="G229" s="58">
        <v>82317</v>
      </c>
    </row>
    <row r="230" spans="1:7" x14ac:dyDescent="0.3">
      <c r="A230" s="58" t="s">
        <v>1604</v>
      </c>
      <c r="B230" s="58" t="s">
        <v>1597</v>
      </c>
      <c r="C230" s="58" t="s">
        <v>1596</v>
      </c>
      <c r="D230" s="58" t="s">
        <v>1600</v>
      </c>
      <c r="E230" s="58">
        <v>8</v>
      </c>
      <c r="F230" s="58">
        <v>17070</v>
      </c>
      <c r="G230" s="58">
        <v>136560</v>
      </c>
    </row>
    <row r="231" spans="1:7" x14ac:dyDescent="0.3">
      <c r="A231" s="58" t="s">
        <v>1601</v>
      </c>
      <c r="B231" s="58" t="s">
        <v>1597</v>
      </c>
      <c r="C231" s="58" t="s">
        <v>1588</v>
      </c>
      <c r="D231" s="58" t="s">
        <v>1606</v>
      </c>
      <c r="E231" s="58">
        <v>10</v>
      </c>
      <c r="F231" s="58">
        <v>7095</v>
      </c>
      <c r="G231" s="58">
        <v>70950</v>
      </c>
    </row>
    <row r="232" spans="1:7" x14ac:dyDescent="0.3">
      <c r="A232" s="58" t="s">
        <v>1602</v>
      </c>
      <c r="B232" s="58" t="s">
        <v>1605</v>
      </c>
      <c r="C232" s="58" t="s">
        <v>1592</v>
      </c>
      <c r="D232" s="58" t="s">
        <v>1606</v>
      </c>
      <c r="E232" s="58">
        <v>10</v>
      </c>
      <c r="F232" s="58">
        <v>10186</v>
      </c>
      <c r="G232" s="58">
        <v>101860</v>
      </c>
    </row>
    <row r="233" spans="1:7" x14ac:dyDescent="0.3">
      <c r="A233" s="58" t="s">
        <v>1590</v>
      </c>
      <c r="B233" s="58" t="s">
        <v>1589</v>
      </c>
      <c r="C233" s="58" t="s">
        <v>1592</v>
      </c>
      <c r="D233" s="58" t="s">
        <v>1591</v>
      </c>
      <c r="E233" s="58">
        <v>4</v>
      </c>
      <c r="F233" s="58">
        <v>17630</v>
      </c>
      <c r="G233" s="58">
        <v>70520</v>
      </c>
    </row>
    <row r="234" spans="1:7" x14ac:dyDescent="0.3">
      <c r="A234" s="58" t="s">
        <v>1593</v>
      </c>
      <c r="B234" s="58" t="s">
        <v>1605</v>
      </c>
      <c r="C234" s="58" t="s">
        <v>1595</v>
      </c>
      <c r="D234" s="58" t="s">
        <v>1606</v>
      </c>
      <c r="E234" s="58">
        <v>7</v>
      </c>
      <c r="F234" s="58">
        <v>15363</v>
      </c>
      <c r="G234" s="58">
        <v>107541</v>
      </c>
    </row>
    <row r="235" spans="1:7" x14ac:dyDescent="0.3">
      <c r="A235" s="58" t="s">
        <v>1604</v>
      </c>
      <c r="B235" s="58" t="s">
        <v>1605</v>
      </c>
      <c r="C235" s="58" t="s">
        <v>1595</v>
      </c>
      <c r="D235" s="58" t="s">
        <v>1594</v>
      </c>
      <c r="E235" s="58">
        <v>2</v>
      </c>
      <c r="F235" s="58">
        <v>20890</v>
      </c>
      <c r="G235" s="58">
        <v>41780</v>
      </c>
    </row>
    <row r="236" spans="1:7" x14ac:dyDescent="0.3">
      <c r="A236" s="58" t="s">
        <v>1593</v>
      </c>
      <c r="B236" s="58" t="s">
        <v>1599</v>
      </c>
      <c r="C236" s="58" t="s">
        <v>1596</v>
      </c>
      <c r="D236" s="58" t="s">
        <v>1587</v>
      </c>
      <c r="E236" s="58">
        <v>9</v>
      </c>
      <c r="F236" s="58">
        <v>26085</v>
      </c>
      <c r="G236" s="58">
        <v>234765</v>
      </c>
    </row>
    <row r="237" spans="1:7" x14ac:dyDescent="0.3">
      <c r="A237" s="58" t="s">
        <v>1590</v>
      </c>
      <c r="B237" s="58" t="s">
        <v>1599</v>
      </c>
      <c r="C237" s="58" t="s">
        <v>1596</v>
      </c>
      <c r="D237" s="58" t="s">
        <v>1598</v>
      </c>
      <c r="E237" s="58">
        <v>3</v>
      </c>
      <c r="F237" s="58">
        <v>7572</v>
      </c>
      <c r="G237" s="58">
        <v>22716</v>
      </c>
    </row>
    <row r="238" spans="1:7" x14ac:dyDescent="0.3">
      <c r="A238" s="58" t="s">
        <v>1590</v>
      </c>
      <c r="B238" s="58" t="s">
        <v>1605</v>
      </c>
      <c r="C238" s="58" t="s">
        <v>1596</v>
      </c>
      <c r="D238" s="58" t="s">
        <v>1606</v>
      </c>
      <c r="E238" s="58">
        <v>9</v>
      </c>
      <c r="F238" s="58">
        <v>13994</v>
      </c>
      <c r="G238" s="58">
        <v>125946</v>
      </c>
    </row>
    <row r="239" spans="1:7" x14ac:dyDescent="0.3">
      <c r="A239" s="58" t="s">
        <v>1602</v>
      </c>
      <c r="B239" s="58" t="s">
        <v>1605</v>
      </c>
      <c r="C239" s="58" t="s">
        <v>1595</v>
      </c>
      <c r="D239" s="58" t="s">
        <v>1598</v>
      </c>
      <c r="E239" s="58">
        <v>4</v>
      </c>
      <c r="F239" s="58">
        <v>9125</v>
      </c>
      <c r="G239" s="58">
        <v>36500</v>
      </c>
    </row>
    <row r="240" spans="1:7" x14ac:dyDescent="0.3">
      <c r="A240" s="58" t="s">
        <v>1601</v>
      </c>
      <c r="B240" s="58" t="s">
        <v>1597</v>
      </c>
      <c r="C240" s="58" t="s">
        <v>1596</v>
      </c>
      <c r="D240" s="58" t="s">
        <v>1587</v>
      </c>
      <c r="E240" s="58">
        <v>7</v>
      </c>
      <c r="F240" s="58">
        <v>13621</v>
      </c>
      <c r="G240" s="58">
        <v>95347</v>
      </c>
    </row>
    <row r="241" spans="1:7" x14ac:dyDescent="0.3">
      <c r="A241" s="58" t="s">
        <v>1601</v>
      </c>
      <c r="B241" s="58" t="s">
        <v>1605</v>
      </c>
      <c r="C241" s="58" t="s">
        <v>1603</v>
      </c>
      <c r="D241" s="58" t="s">
        <v>1591</v>
      </c>
      <c r="E241" s="58">
        <v>9</v>
      </c>
      <c r="F241" s="58">
        <v>7551</v>
      </c>
      <c r="G241" s="58">
        <v>67959</v>
      </c>
    </row>
    <row r="242" spans="1:7" x14ac:dyDescent="0.3">
      <c r="A242" s="58" t="s">
        <v>1602</v>
      </c>
      <c r="B242" s="58" t="s">
        <v>1599</v>
      </c>
      <c r="C242" s="58" t="s">
        <v>1595</v>
      </c>
      <c r="D242" s="58" t="s">
        <v>1606</v>
      </c>
      <c r="E242" s="58">
        <v>6</v>
      </c>
      <c r="F242" s="58">
        <v>26253</v>
      </c>
      <c r="G242" s="58">
        <v>157518</v>
      </c>
    </row>
    <row r="243" spans="1:7" x14ac:dyDescent="0.3">
      <c r="A243" s="58" t="s">
        <v>1602</v>
      </c>
      <c r="B243" s="58" t="s">
        <v>1597</v>
      </c>
      <c r="C243" s="58" t="s">
        <v>1592</v>
      </c>
      <c r="D243" s="58" t="s">
        <v>1606</v>
      </c>
      <c r="E243" s="58">
        <v>5</v>
      </c>
      <c r="F243" s="58">
        <v>7327</v>
      </c>
      <c r="G243" s="58">
        <v>36635</v>
      </c>
    </row>
    <row r="244" spans="1:7" x14ac:dyDescent="0.3">
      <c r="A244" s="58" t="s">
        <v>1601</v>
      </c>
      <c r="B244" s="58" t="s">
        <v>1589</v>
      </c>
      <c r="C244" s="58" t="s">
        <v>1592</v>
      </c>
      <c r="D244" s="58" t="s">
        <v>1598</v>
      </c>
      <c r="E244" s="58">
        <v>7</v>
      </c>
      <c r="F244" s="58">
        <v>14715</v>
      </c>
      <c r="G244" s="58">
        <v>103005</v>
      </c>
    </row>
    <row r="245" spans="1:7" x14ac:dyDescent="0.3">
      <c r="A245" s="58" t="s">
        <v>1590</v>
      </c>
      <c r="B245" s="58" t="s">
        <v>1605</v>
      </c>
      <c r="C245" s="58" t="s">
        <v>1592</v>
      </c>
      <c r="D245" s="58" t="s">
        <v>1600</v>
      </c>
      <c r="E245" s="58">
        <v>10</v>
      </c>
      <c r="F245" s="58">
        <v>24215</v>
      </c>
      <c r="G245" s="58">
        <v>242150</v>
      </c>
    </row>
    <row r="246" spans="1:7" x14ac:dyDescent="0.3">
      <c r="A246" s="58" t="s">
        <v>1602</v>
      </c>
      <c r="B246" s="58" t="s">
        <v>1597</v>
      </c>
      <c r="C246" s="58" t="s">
        <v>1588</v>
      </c>
      <c r="D246" s="58" t="s">
        <v>1587</v>
      </c>
      <c r="E246" s="58">
        <v>2</v>
      </c>
      <c r="F246" s="58">
        <v>1141</v>
      </c>
      <c r="G246" s="58">
        <v>2282</v>
      </c>
    </row>
    <row r="247" spans="1:7" x14ac:dyDescent="0.3">
      <c r="A247" s="58" t="s">
        <v>1602</v>
      </c>
      <c r="B247" s="58" t="s">
        <v>1599</v>
      </c>
      <c r="C247" s="58" t="s">
        <v>1603</v>
      </c>
      <c r="D247" s="58" t="s">
        <v>1598</v>
      </c>
      <c r="E247" s="58">
        <v>6</v>
      </c>
      <c r="F247" s="58">
        <v>21646</v>
      </c>
      <c r="G247" s="58">
        <v>129876</v>
      </c>
    </row>
    <row r="248" spans="1:7" x14ac:dyDescent="0.3">
      <c r="A248" s="58" t="s">
        <v>1604</v>
      </c>
      <c r="B248" s="58" t="s">
        <v>1605</v>
      </c>
      <c r="C248" s="58" t="s">
        <v>1588</v>
      </c>
      <c r="D248" s="58" t="s">
        <v>1594</v>
      </c>
      <c r="E248" s="58">
        <v>3</v>
      </c>
      <c r="F248" s="58">
        <v>5010</v>
      </c>
      <c r="G248" s="58">
        <v>15030</v>
      </c>
    </row>
    <row r="249" spans="1:7" x14ac:dyDescent="0.3">
      <c r="A249" s="58" t="s">
        <v>1593</v>
      </c>
      <c r="B249" s="58" t="s">
        <v>1599</v>
      </c>
      <c r="C249" s="58" t="s">
        <v>1603</v>
      </c>
      <c r="D249" s="58" t="s">
        <v>1594</v>
      </c>
      <c r="E249" s="58">
        <v>5</v>
      </c>
      <c r="F249" s="58">
        <v>24487</v>
      </c>
      <c r="G249" s="58">
        <v>122435</v>
      </c>
    </row>
    <row r="250" spans="1:7" x14ac:dyDescent="0.3">
      <c r="A250" s="58" t="s">
        <v>1602</v>
      </c>
      <c r="B250" s="58" t="s">
        <v>1589</v>
      </c>
      <c r="C250" s="58" t="s">
        <v>1588</v>
      </c>
      <c r="D250" s="58" t="s">
        <v>1594</v>
      </c>
      <c r="E250" s="58">
        <v>1</v>
      </c>
      <c r="F250" s="58">
        <v>22221</v>
      </c>
      <c r="G250" s="58">
        <v>22221</v>
      </c>
    </row>
    <row r="251" spans="1:7" x14ac:dyDescent="0.3">
      <c r="A251" s="58" t="s">
        <v>1604</v>
      </c>
      <c r="B251" s="58" t="s">
        <v>1599</v>
      </c>
      <c r="C251" s="58" t="s">
        <v>1596</v>
      </c>
      <c r="D251" s="58" t="s">
        <v>1606</v>
      </c>
      <c r="E251" s="58">
        <v>4</v>
      </c>
      <c r="F251" s="58">
        <v>23769</v>
      </c>
      <c r="G251" s="58">
        <v>95076</v>
      </c>
    </row>
    <row r="252" spans="1:7" x14ac:dyDescent="0.3">
      <c r="A252" s="58" t="s">
        <v>1604</v>
      </c>
      <c r="B252" s="58" t="s">
        <v>1605</v>
      </c>
      <c r="C252" s="58" t="s">
        <v>1595</v>
      </c>
      <c r="D252" s="58" t="s">
        <v>1591</v>
      </c>
      <c r="E252" s="58">
        <v>10</v>
      </c>
      <c r="F252" s="58">
        <v>1935</v>
      </c>
      <c r="G252" s="58">
        <v>19350</v>
      </c>
    </row>
    <row r="253" spans="1:7" x14ac:dyDescent="0.3">
      <c r="A253" s="58" t="s">
        <v>1593</v>
      </c>
      <c r="B253" s="58" t="s">
        <v>1597</v>
      </c>
      <c r="C253" s="58" t="s">
        <v>1595</v>
      </c>
      <c r="D253" s="58" t="s">
        <v>1591</v>
      </c>
      <c r="E253" s="58">
        <v>3</v>
      </c>
      <c r="F253" s="58">
        <v>15298</v>
      </c>
      <c r="G253" s="58">
        <v>45894</v>
      </c>
    </row>
    <row r="254" spans="1:7" x14ac:dyDescent="0.3">
      <c r="A254" s="58" t="s">
        <v>1602</v>
      </c>
      <c r="B254" s="58" t="s">
        <v>1589</v>
      </c>
      <c r="C254" s="58" t="s">
        <v>1595</v>
      </c>
      <c r="D254" s="58" t="s">
        <v>1594</v>
      </c>
      <c r="E254" s="58">
        <v>4</v>
      </c>
      <c r="F254" s="58">
        <v>13700</v>
      </c>
      <c r="G254" s="58">
        <v>54800</v>
      </c>
    </row>
    <row r="255" spans="1:7" x14ac:dyDescent="0.3">
      <c r="A255" s="58" t="s">
        <v>1593</v>
      </c>
      <c r="B255" s="58" t="s">
        <v>1599</v>
      </c>
      <c r="C255" s="58" t="s">
        <v>1595</v>
      </c>
      <c r="D255" s="58" t="s">
        <v>1598</v>
      </c>
      <c r="E255" s="58">
        <v>1</v>
      </c>
      <c r="F255" s="58">
        <v>1484</v>
      </c>
      <c r="G255" s="58">
        <v>1484</v>
      </c>
    </row>
    <row r="256" spans="1:7" x14ac:dyDescent="0.3">
      <c r="A256" s="58" t="s">
        <v>1601</v>
      </c>
      <c r="B256" s="58" t="s">
        <v>1599</v>
      </c>
      <c r="C256" s="58" t="s">
        <v>1588</v>
      </c>
      <c r="D256" s="58" t="s">
        <v>1594</v>
      </c>
      <c r="E256" s="58">
        <v>8</v>
      </c>
      <c r="F256" s="58">
        <v>23401</v>
      </c>
      <c r="G256" s="58">
        <v>187208</v>
      </c>
    </row>
    <row r="257" spans="1:7" x14ac:dyDescent="0.3">
      <c r="A257" s="58" t="s">
        <v>1602</v>
      </c>
      <c r="B257" s="58" t="s">
        <v>1605</v>
      </c>
      <c r="C257" s="58" t="s">
        <v>1603</v>
      </c>
      <c r="D257" s="58" t="s">
        <v>1594</v>
      </c>
      <c r="E257" s="58">
        <v>2</v>
      </c>
      <c r="F257" s="58">
        <v>27779</v>
      </c>
      <c r="G257" s="58">
        <v>55558</v>
      </c>
    </row>
    <row r="258" spans="1:7" x14ac:dyDescent="0.3">
      <c r="A258" s="58" t="s">
        <v>1602</v>
      </c>
      <c r="B258" s="58" t="s">
        <v>1605</v>
      </c>
      <c r="C258" s="58" t="s">
        <v>1588</v>
      </c>
      <c r="D258" s="58" t="s">
        <v>1598</v>
      </c>
      <c r="E258" s="58">
        <v>1</v>
      </c>
      <c r="F258" s="58">
        <v>5445</v>
      </c>
      <c r="G258" s="58">
        <v>5445</v>
      </c>
    </row>
    <row r="259" spans="1:7" x14ac:dyDescent="0.3">
      <c r="A259" s="58" t="s">
        <v>1601</v>
      </c>
      <c r="B259" s="58" t="s">
        <v>1599</v>
      </c>
      <c r="C259" s="58" t="s">
        <v>1603</v>
      </c>
      <c r="D259" s="58" t="s">
        <v>1587</v>
      </c>
      <c r="E259" s="58">
        <v>1</v>
      </c>
      <c r="F259" s="58">
        <v>14083</v>
      </c>
      <c r="G259" s="58">
        <v>14083</v>
      </c>
    </row>
    <row r="260" spans="1:7" x14ac:dyDescent="0.3">
      <c r="A260" s="58" t="s">
        <v>1593</v>
      </c>
      <c r="B260" s="58" t="s">
        <v>1605</v>
      </c>
      <c r="C260" s="58" t="s">
        <v>1603</v>
      </c>
      <c r="D260" s="58" t="s">
        <v>1598</v>
      </c>
      <c r="E260" s="58">
        <v>1</v>
      </c>
      <c r="F260" s="58">
        <v>25388</v>
      </c>
      <c r="G260" s="58">
        <v>25388</v>
      </c>
    </row>
    <row r="261" spans="1:7" x14ac:dyDescent="0.3">
      <c r="A261" s="58" t="s">
        <v>1593</v>
      </c>
      <c r="B261" s="58" t="s">
        <v>1589</v>
      </c>
      <c r="C261" s="58" t="s">
        <v>1592</v>
      </c>
      <c r="D261" s="58" t="s">
        <v>1606</v>
      </c>
      <c r="E261" s="58">
        <v>1</v>
      </c>
      <c r="F261" s="58">
        <v>26102</v>
      </c>
      <c r="G261" s="58">
        <v>26102</v>
      </c>
    </row>
    <row r="262" spans="1:7" x14ac:dyDescent="0.3">
      <c r="A262" s="58" t="s">
        <v>1590</v>
      </c>
      <c r="B262" s="58" t="s">
        <v>1605</v>
      </c>
      <c r="C262" s="58" t="s">
        <v>1596</v>
      </c>
      <c r="D262" s="58" t="s">
        <v>1587</v>
      </c>
      <c r="E262" s="58">
        <v>6</v>
      </c>
      <c r="F262" s="58">
        <v>26624</v>
      </c>
      <c r="G262" s="58">
        <v>159744</v>
      </c>
    </row>
    <row r="263" spans="1:7" x14ac:dyDescent="0.3">
      <c r="A263" s="58" t="s">
        <v>1604</v>
      </c>
      <c r="B263" s="58" t="s">
        <v>1605</v>
      </c>
      <c r="C263" s="58" t="s">
        <v>1592</v>
      </c>
      <c r="D263" s="58" t="s">
        <v>1594</v>
      </c>
      <c r="E263" s="58">
        <v>1</v>
      </c>
      <c r="F263" s="58">
        <v>23419</v>
      </c>
      <c r="G263" s="58">
        <v>23419</v>
      </c>
    </row>
    <row r="264" spans="1:7" x14ac:dyDescent="0.3">
      <c r="A264" s="58" t="s">
        <v>1604</v>
      </c>
      <c r="B264" s="58" t="s">
        <v>1589</v>
      </c>
      <c r="C264" s="58" t="s">
        <v>1603</v>
      </c>
      <c r="D264" s="58" t="s">
        <v>1598</v>
      </c>
      <c r="E264" s="58">
        <v>8</v>
      </c>
      <c r="F264" s="58">
        <v>18650</v>
      </c>
      <c r="G264" s="58">
        <v>149200</v>
      </c>
    </row>
    <row r="265" spans="1:7" x14ac:dyDescent="0.3">
      <c r="A265" s="58" t="s">
        <v>1590</v>
      </c>
      <c r="B265" s="58" t="s">
        <v>1599</v>
      </c>
      <c r="C265" s="58" t="s">
        <v>1596</v>
      </c>
      <c r="D265" s="58" t="s">
        <v>1600</v>
      </c>
      <c r="E265" s="58">
        <v>6</v>
      </c>
      <c r="F265" s="58">
        <v>10835</v>
      </c>
      <c r="G265" s="58">
        <v>65010</v>
      </c>
    </row>
    <row r="266" spans="1:7" x14ac:dyDescent="0.3">
      <c r="A266" s="58" t="s">
        <v>1604</v>
      </c>
      <c r="B266" s="58" t="s">
        <v>1605</v>
      </c>
      <c r="C266" s="58" t="s">
        <v>1592</v>
      </c>
      <c r="D266" s="58" t="s">
        <v>1606</v>
      </c>
      <c r="E266" s="58">
        <v>7</v>
      </c>
      <c r="F266" s="58">
        <v>5241</v>
      </c>
      <c r="G266" s="58">
        <v>36687</v>
      </c>
    </row>
    <row r="267" spans="1:7" x14ac:dyDescent="0.3">
      <c r="A267" s="58" t="s">
        <v>1602</v>
      </c>
      <c r="B267" s="58" t="s">
        <v>1597</v>
      </c>
      <c r="C267" s="58" t="s">
        <v>1595</v>
      </c>
      <c r="D267" s="58" t="s">
        <v>1594</v>
      </c>
      <c r="E267" s="58">
        <v>4</v>
      </c>
      <c r="F267" s="58">
        <v>12424</v>
      </c>
      <c r="G267" s="58">
        <v>49696</v>
      </c>
    </row>
    <row r="268" spans="1:7" x14ac:dyDescent="0.3">
      <c r="A268" s="58" t="s">
        <v>1593</v>
      </c>
      <c r="B268" s="58" t="s">
        <v>1599</v>
      </c>
      <c r="C268" s="58" t="s">
        <v>1588</v>
      </c>
      <c r="D268" s="58" t="s">
        <v>1600</v>
      </c>
      <c r="E268" s="58">
        <v>5</v>
      </c>
      <c r="F268" s="58">
        <v>10039</v>
      </c>
      <c r="G268" s="58">
        <v>50195</v>
      </c>
    </row>
    <row r="269" spans="1:7" x14ac:dyDescent="0.3">
      <c r="A269" s="58" t="s">
        <v>1593</v>
      </c>
      <c r="B269" s="58" t="s">
        <v>1597</v>
      </c>
      <c r="C269" s="58" t="s">
        <v>1596</v>
      </c>
      <c r="D269" s="58" t="s">
        <v>1598</v>
      </c>
      <c r="E269" s="58">
        <v>1</v>
      </c>
      <c r="F269" s="58">
        <v>9053</v>
      </c>
      <c r="G269" s="58">
        <v>9053</v>
      </c>
    </row>
    <row r="270" spans="1:7" x14ac:dyDescent="0.3">
      <c r="A270" s="58" t="s">
        <v>1590</v>
      </c>
      <c r="B270" s="58" t="s">
        <v>1599</v>
      </c>
      <c r="C270" s="58" t="s">
        <v>1588</v>
      </c>
      <c r="D270" s="58" t="s">
        <v>1591</v>
      </c>
      <c r="E270" s="58">
        <v>5</v>
      </c>
      <c r="F270" s="58">
        <v>2334</v>
      </c>
      <c r="G270" s="58">
        <v>11670</v>
      </c>
    </row>
    <row r="271" spans="1:7" x14ac:dyDescent="0.3">
      <c r="A271" s="58" t="s">
        <v>1604</v>
      </c>
      <c r="B271" s="58" t="s">
        <v>1589</v>
      </c>
      <c r="C271" s="58" t="s">
        <v>1588</v>
      </c>
      <c r="D271" s="58" t="s">
        <v>1606</v>
      </c>
      <c r="E271" s="58">
        <v>1</v>
      </c>
      <c r="F271" s="58">
        <v>1506</v>
      </c>
      <c r="G271" s="58">
        <v>1506</v>
      </c>
    </row>
    <row r="272" spans="1:7" x14ac:dyDescent="0.3">
      <c r="A272" s="58" t="s">
        <v>1604</v>
      </c>
      <c r="B272" s="58" t="s">
        <v>1605</v>
      </c>
      <c r="C272" s="58" t="s">
        <v>1596</v>
      </c>
      <c r="D272" s="58" t="s">
        <v>1600</v>
      </c>
      <c r="E272" s="58">
        <v>10</v>
      </c>
      <c r="F272" s="58">
        <v>10255</v>
      </c>
      <c r="G272" s="58">
        <v>102550</v>
      </c>
    </row>
    <row r="273" spans="1:7" x14ac:dyDescent="0.3">
      <c r="A273" s="58" t="s">
        <v>1593</v>
      </c>
      <c r="B273" s="58" t="s">
        <v>1597</v>
      </c>
      <c r="C273" s="58" t="s">
        <v>1596</v>
      </c>
      <c r="D273" s="58" t="s">
        <v>1594</v>
      </c>
      <c r="E273" s="58">
        <v>4</v>
      </c>
      <c r="F273" s="58">
        <v>28266</v>
      </c>
      <c r="G273" s="58">
        <v>113064</v>
      </c>
    </row>
    <row r="274" spans="1:7" x14ac:dyDescent="0.3">
      <c r="A274" s="58" t="s">
        <v>1604</v>
      </c>
      <c r="B274" s="58" t="s">
        <v>1597</v>
      </c>
      <c r="C274" s="58" t="s">
        <v>1603</v>
      </c>
      <c r="D274" s="58" t="s">
        <v>1606</v>
      </c>
      <c r="E274" s="58">
        <v>8</v>
      </c>
      <c r="F274" s="58">
        <v>13372</v>
      </c>
      <c r="G274" s="58">
        <v>106976</v>
      </c>
    </row>
    <row r="275" spans="1:7" x14ac:dyDescent="0.3">
      <c r="A275" s="58" t="s">
        <v>1601</v>
      </c>
      <c r="B275" s="58" t="s">
        <v>1597</v>
      </c>
      <c r="C275" s="58" t="s">
        <v>1596</v>
      </c>
      <c r="D275" s="58" t="s">
        <v>1587</v>
      </c>
      <c r="E275" s="58">
        <v>4</v>
      </c>
      <c r="F275" s="58">
        <v>14197</v>
      </c>
      <c r="G275" s="58">
        <v>56788</v>
      </c>
    </row>
    <row r="276" spans="1:7" x14ac:dyDescent="0.3">
      <c r="A276" s="58" t="s">
        <v>1601</v>
      </c>
      <c r="B276" s="58" t="s">
        <v>1589</v>
      </c>
      <c r="C276" s="58" t="s">
        <v>1596</v>
      </c>
      <c r="D276" s="58" t="s">
        <v>1594</v>
      </c>
      <c r="E276" s="58">
        <v>1</v>
      </c>
      <c r="F276" s="58">
        <v>19513</v>
      </c>
      <c r="G276" s="58">
        <v>19513</v>
      </c>
    </row>
    <row r="277" spans="1:7" x14ac:dyDescent="0.3">
      <c r="A277" s="58" t="s">
        <v>1602</v>
      </c>
      <c r="B277" s="58" t="s">
        <v>1605</v>
      </c>
      <c r="C277" s="58" t="s">
        <v>1596</v>
      </c>
      <c r="D277" s="58" t="s">
        <v>1594</v>
      </c>
      <c r="E277" s="58">
        <v>9</v>
      </c>
      <c r="F277" s="58">
        <v>7335</v>
      </c>
      <c r="G277" s="58">
        <v>66015</v>
      </c>
    </row>
    <row r="278" spans="1:7" x14ac:dyDescent="0.3">
      <c r="A278" s="58" t="s">
        <v>1601</v>
      </c>
      <c r="B278" s="58" t="s">
        <v>1589</v>
      </c>
      <c r="C278" s="58" t="s">
        <v>1592</v>
      </c>
      <c r="D278" s="58" t="s">
        <v>1598</v>
      </c>
      <c r="E278" s="58">
        <v>6</v>
      </c>
      <c r="F278" s="58">
        <v>26248</v>
      </c>
      <c r="G278" s="58">
        <v>157488</v>
      </c>
    </row>
    <row r="279" spans="1:7" x14ac:dyDescent="0.3">
      <c r="A279" s="58" t="s">
        <v>1593</v>
      </c>
      <c r="B279" s="58" t="s">
        <v>1599</v>
      </c>
      <c r="C279" s="58" t="s">
        <v>1588</v>
      </c>
      <c r="D279" s="58" t="s">
        <v>1594</v>
      </c>
      <c r="E279" s="58">
        <v>4</v>
      </c>
      <c r="F279" s="58">
        <v>28970</v>
      </c>
      <c r="G279" s="58">
        <v>115880</v>
      </c>
    </row>
    <row r="280" spans="1:7" x14ac:dyDescent="0.3">
      <c r="A280" s="58" t="s">
        <v>1601</v>
      </c>
      <c r="B280" s="58" t="s">
        <v>1605</v>
      </c>
      <c r="C280" s="58" t="s">
        <v>1592</v>
      </c>
      <c r="D280" s="58" t="s">
        <v>1594</v>
      </c>
      <c r="E280" s="58">
        <v>1</v>
      </c>
      <c r="F280" s="58">
        <v>1226</v>
      </c>
      <c r="G280" s="58">
        <v>1226</v>
      </c>
    </row>
    <row r="281" spans="1:7" x14ac:dyDescent="0.3">
      <c r="A281" s="58" t="s">
        <v>1604</v>
      </c>
      <c r="B281" s="58" t="s">
        <v>1597</v>
      </c>
      <c r="C281" s="58" t="s">
        <v>1592</v>
      </c>
      <c r="D281" s="58" t="s">
        <v>1594</v>
      </c>
      <c r="E281" s="58">
        <v>5</v>
      </c>
      <c r="F281" s="58">
        <v>18695</v>
      </c>
      <c r="G281" s="58">
        <v>93475</v>
      </c>
    </row>
    <row r="282" spans="1:7" x14ac:dyDescent="0.3">
      <c r="A282" s="58" t="s">
        <v>1593</v>
      </c>
      <c r="B282" s="58" t="s">
        <v>1605</v>
      </c>
      <c r="C282" s="58" t="s">
        <v>1596</v>
      </c>
      <c r="D282" s="58" t="s">
        <v>1600</v>
      </c>
      <c r="E282" s="58">
        <v>5</v>
      </c>
      <c r="F282" s="58">
        <v>23169</v>
      </c>
      <c r="G282" s="58">
        <v>115845</v>
      </c>
    </row>
    <row r="283" spans="1:7" x14ac:dyDescent="0.3">
      <c r="A283" s="58" t="s">
        <v>1604</v>
      </c>
      <c r="B283" s="58" t="s">
        <v>1597</v>
      </c>
      <c r="C283" s="58" t="s">
        <v>1588</v>
      </c>
      <c r="D283" s="58" t="s">
        <v>1594</v>
      </c>
      <c r="E283" s="58">
        <v>5</v>
      </c>
      <c r="F283" s="58">
        <v>5057</v>
      </c>
      <c r="G283" s="58">
        <v>25285</v>
      </c>
    </row>
    <row r="284" spans="1:7" x14ac:dyDescent="0.3">
      <c r="A284" s="58" t="s">
        <v>1602</v>
      </c>
      <c r="B284" s="58" t="s">
        <v>1597</v>
      </c>
      <c r="C284" s="58" t="s">
        <v>1603</v>
      </c>
      <c r="D284" s="58" t="s">
        <v>1600</v>
      </c>
      <c r="E284" s="58">
        <v>10</v>
      </c>
      <c r="F284" s="58">
        <v>22704</v>
      </c>
      <c r="G284" s="58">
        <v>227040</v>
      </c>
    </row>
    <row r="285" spans="1:7" x14ac:dyDescent="0.3">
      <c r="A285" s="58" t="s">
        <v>1602</v>
      </c>
      <c r="B285" s="58" t="s">
        <v>1597</v>
      </c>
      <c r="C285" s="58" t="s">
        <v>1595</v>
      </c>
      <c r="D285" s="58" t="s">
        <v>1598</v>
      </c>
      <c r="E285" s="58">
        <v>6</v>
      </c>
      <c r="F285" s="58">
        <v>17811</v>
      </c>
      <c r="G285" s="58">
        <v>106866</v>
      </c>
    </row>
    <row r="286" spans="1:7" x14ac:dyDescent="0.3">
      <c r="A286" s="58" t="s">
        <v>1604</v>
      </c>
      <c r="B286" s="58" t="s">
        <v>1605</v>
      </c>
      <c r="C286" s="58" t="s">
        <v>1592</v>
      </c>
      <c r="D286" s="58" t="s">
        <v>1591</v>
      </c>
      <c r="E286" s="58">
        <v>1</v>
      </c>
      <c r="F286" s="58">
        <v>16084</v>
      </c>
      <c r="G286" s="58">
        <v>16084</v>
      </c>
    </row>
    <row r="287" spans="1:7" x14ac:dyDescent="0.3">
      <c r="A287" s="58" t="s">
        <v>1593</v>
      </c>
      <c r="B287" s="58" t="s">
        <v>1605</v>
      </c>
      <c r="C287" s="58" t="s">
        <v>1592</v>
      </c>
      <c r="D287" s="58" t="s">
        <v>1600</v>
      </c>
      <c r="E287" s="58">
        <v>2</v>
      </c>
      <c r="F287" s="58">
        <v>22705</v>
      </c>
      <c r="G287" s="58">
        <v>45410</v>
      </c>
    </row>
    <row r="288" spans="1:7" x14ac:dyDescent="0.3">
      <c r="A288" s="58" t="s">
        <v>1590</v>
      </c>
      <c r="B288" s="58" t="s">
        <v>1597</v>
      </c>
      <c r="C288" s="58" t="s">
        <v>1588</v>
      </c>
      <c r="D288" s="58" t="s">
        <v>1587</v>
      </c>
      <c r="E288" s="58">
        <v>1</v>
      </c>
      <c r="F288" s="58">
        <v>12455</v>
      </c>
      <c r="G288" s="58">
        <v>12455</v>
      </c>
    </row>
    <row r="289" spans="1:7" x14ac:dyDescent="0.3">
      <c r="A289" s="58" t="s">
        <v>1604</v>
      </c>
      <c r="B289" s="58" t="s">
        <v>1599</v>
      </c>
      <c r="C289" s="58" t="s">
        <v>1595</v>
      </c>
      <c r="D289" s="58" t="s">
        <v>1600</v>
      </c>
      <c r="E289" s="58">
        <v>7</v>
      </c>
      <c r="F289" s="58">
        <v>6211</v>
      </c>
      <c r="G289" s="58">
        <v>43477</v>
      </c>
    </row>
    <row r="290" spans="1:7" x14ac:dyDescent="0.3">
      <c r="A290" s="58" t="s">
        <v>1604</v>
      </c>
      <c r="B290" s="58" t="s">
        <v>1599</v>
      </c>
      <c r="C290" s="58" t="s">
        <v>1592</v>
      </c>
      <c r="D290" s="58" t="s">
        <v>1591</v>
      </c>
      <c r="E290" s="58">
        <v>3</v>
      </c>
      <c r="F290" s="58">
        <v>17029</v>
      </c>
      <c r="G290" s="58">
        <v>51087</v>
      </c>
    </row>
    <row r="291" spans="1:7" x14ac:dyDescent="0.3">
      <c r="A291" s="58" t="s">
        <v>1601</v>
      </c>
      <c r="B291" s="58" t="s">
        <v>1599</v>
      </c>
      <c r="C291" s="58" t="s">
        <v>1588</v>
      </c>
      <c r="D291" s="58" t="s">
        <v>1587</v>
      </c>
      <c r="E291" s="58">
        <v>6</v>
      </c>
      <c r="F291" s="58">
        <v>14459</v>
      </c>
      <c r="G291" s="58">
        <v>86754</v>
      </c>
    </row>
    <row r="292" spans="1:7" x14ac:dyDescent="0.3">
      <c r="A292" s="58" t="s">
        <v>1604</v>
      </c>
      <c r="B292" s="58" t="s">
        <v>1589</v>
      </c>
      <c r="C292" s="58" t="s">
        <v>1588</v>
      </c>
      <c r="D292" s="58" t="s">
        <v>1598</v>
      </c>
      <c r="E292" s="58">
        <v>5</v>
      </c>
      <c r="F292" s="58">
        <v>4266</v>
      </c>
      <c r="G292" s="58">
        <v>21330</v>
      </c>
    </row>
    <row r="293" spans="1:7" x14ac:dyDescent="0.3">
      <c r="A293" s="58" t="s">
        <v>1593</v>
      </c>
      <c r="B293" s="58" t="s">
        <v>1605</v>
      </c>
      <c r="C293" s="58" t="s">
        <v>1592</v>
      </c>
      <c r="D293" s="58" t="s">
        <v>1606</v>
      </c>
      <c r="E293" s="58">
        <v>5</v>
      </c>
      <c r="F293" s="58">
        <v>26448</v>
      </c>
      <c r="G293" s="58">
        <v>132240</v>
      </c>
    </row>
    <row r="294" spans="1:7" x14ac:dyDescent="0.3">
      <c r="A294" s="58" t="s">
        <v>1604</v>
      </c>
      <c r="B294" s="58" t="s">
        <v>1597</v>
      </c>
      <c r="C294" s="58" t="s">
        <v>1595</v>
      </c>
      <c r="D294" s="58" t="s">
        <v>1606</v>
      </c>
      <c r="E294" s="58">
        <v>9</v>
      </c>
      <c r="F294" s="58">
        <v>4027</v>
      </c>
      <c r="G294" s="58">
        <v>36243</v>
      </c>
    </row>
    <row r="295" spans="1:7" x14ac:dyDescent="0.3">
      <c r="A295" s="58" t="s">
        <v>1602</v>
      </c>
      <c r="B295" s="58" t="s">
        <v>1599</v>
      </c>
      <c r="C295" s="58" t="s">
        <v>1588</v>
      </c>
      <c r="D295" s="58" t="s">
        <v>1600</v>
      </c>
      <c r="E295" s="58">
        <v>8</v>
      </c>
      <c r="F295" s="58">
        <v>13387</v>
      </c>
      <c r="G295" s="58">
        <v>107096</v>
      </c>
    </row>
    <row r="296" spans="1:7" x14ac:dyDescent="0.3">
      <c r="A296" s="58" t="s">
        <v>1593</v>
      </c>
      <c r="B296" s="58" t="s">
        <v>1589</v>
      </c>
      <c r="C296" s="58" t="s">
        <v>1603</v>
      </c>
      <c r="D296" s="58" t="s">
        <v>1598</v>
      </c>
      <c r="E296" s="58">
        <v>7</v>
      </c>
      <c r="F296" s="58">
        <v>18439</v>
      </c>
      <c r="G296" s="58">
        <v>129073</v>
      </c>
    </row>
    <row r="297" spans="1:7" x14ac:dyDescent="0.3">
      <c r="A297" s="58" t="s">
        <v>1590</v>
      </c>
      <c r="B297" s="58" t="s">
        <v>1599</v>
      </c>
      <c r="C297" s="58" t="s">
        <v>1588</v>
      </c>
      <c r="D297" s="58" t="s">
        <v>1600</v>
      </c>
      <c r="E297" s="58">
        <v>9</v>
      </c>
      <c r="F297" s="58">
        <v>13538</v>
      </c>
      <c r="G297" s="58">
        <v>121842</v>
      </c>
    </row>
    <row r="298" spans="1:7" x14ac:dyDescent="0.3">
      <c r="A298" s="58" t="s">
        <v>1602</v>
      </c>
      <c r="B298" s="58" t="s">
        <v>1589</v>
      </c>
      <c r="C298" s="58" t="s">
        <v>1588</v>
      </c>
      <c r="D298" s="58" t="s">
        <v>1591</v>
      </c>
      <c r="E298" s="58">
        <v>3</v>
      </c>
      <c r="F298" s="58">
        <v>20254</v>
      </c>
      <c r="G298" s="58">
        <v>60762</v>
      </c>
    </row>
    <row r="299" spans="1:7" x14ac:dyDescent="0.3">
      <c r="A299" s="58" t="s">
        <v>1590</v>
      </c>
      <c r="B299" s="58" t="s">
        <v>1605</v>
      </c>
      <c r="C299" s="58" t="s">
        <v>1588</v>
      </c>
      <c r="D299" s="58" t="s">
        <v>1598</v>
      </c>
      <c r="E299" s="58">
        <v>3</v>
      </c>
      <c r="F299" s="58">
        <v>24265</v>
      </c>
      <c r="G299" s="58">
        <v>72795</v>
      </c>
    </row>
    <row r="300" spans="1:7" x14ac:dyDescent="0.3">
      <c r="A300" s="58" t="s">
        <v>1602</v>
      </c>
      <c r="B300" s="58" t="s">
        <v>1599</v>
      </c>
      <c r="C300" s="58" t="s">
        <v>1596</v>
      </c>
      <c r="D300" s="58" t="s">
        <v>1594</v>
      </c>
      <c r="E300" s="58">
        <v>5</v>
      </c>
      <c r="F300" s="58">
        <v>15505</v>
      </c>
      <c r="G300" s="58">
        <v>77525</v>
      </c>
    </row>
    <row r="301" spans="1:7" x14ac:dyDescent="0.3">
      <c r="A301" s="58" t="s">
        <v>1593</v>
      </c>
      <c r="B301" s="58" t="s">
        <v>1597</v>
      </c>
      <c r="C301" s="58" t="s">
        <v>1592</v>
      </c>
      <c r="D301" s="58" t="s">
        <v>1598</v>
      </c>
      <c r="E301" s="58">
        <v>7</v>
      </c>
      <c r="F301" s="58">
        <v>20175</v>
      </c>
      <c r="G301" s="58">
        <v>141225</v>
      </c>
    </row>
    <row r="302" spans="1:7" x14ac:dyDescent="0.3">
      <c r="A302" s="58" t="s">
        <v>1601</v>
      </c>
      <c r="B302" s="58" t="s">
        <v>1589</v>
      </c>
      <c r="C302" s="58" t="s">
        <v>1588</v>
      </c>
      <c r="D302" s="58" t="s">
        <v>1600</v>
      </c>
      <c r="E302" s="58">
        <v>2</v>
      </c>
      <c r="F302" s="58">
        <v>29855</v>
      </c>
      <c r="G302" s="58">
        <v>59710</v>
      </c>
    </row>
    <row r="303" spans="1:7" x14ac:dyDescent="0.3">
      <c r="A303" s="58" t="s">
        <v>1593</v>
      </c>
      <c r="B303" s="58" t="s">
        <v>1605</v>
      </c>
      <c r="C303" s="58" t="s">
        <v>1592</v>
      </c>
      <c r="D303" s="58" t="s">
        <v>1587</v>
      </c>
      <c r="E303" s="58">
        <v>10</v>
      </c>
      <c r="F303" s="58">
        <v>8031</v>
      </c>
      <c r="G303" s="58">
        <v>80310</v>
      </c>
    </row>
    <row r="304" spans="1:7" x14ac:dyDescent="0.3">
      <c r="A304" s="58" t="s">
        <v>1593</v>
      </c>
      <c r="B304" s="58" t="s">
        <v>1605</v>
      </c>
      <c r="C304" s="58" t="s">
        <v>1595</v>
      </c>
      <c r="D304" s="58" t="s">
        <v>1594</v>
      </c>
      <c r="E304" s="58">
        <v>8</v>
      </c>
      <c r="F304" s="58">
        <v>21906</v>
      </c>
      <c r="G304" s="58">
        <v>175248</v>
      </c>
    </row>
    <row r="305" spans="1:7" x14ac:dyDescent="0.3">
      <c r="A305" s="58" t="s">
        <v>1590</v>
      </c>
      <c r="B305" s="58" t="s">
        <v>1589</v>
      </c>
      <c r="C305" s="58" t="s">
        <v>1596</v>
      </c>
      <c r="D305" s="58" t="s">
        <v>1606</v>
      </c>
      <c r="E305" s="58">
        <v>3</v>
      </c>
      <c r="F305" s="58">
        <v>24713</v>
      </c>
      <c r="G305" s="58">
        <v>74139</v>
      </c>
    </row>
    <row r="306" spans="1:7" x14ac:dyDescent="0.3">
      <c r="A306" s="58" t="s">
        <v>1593</v>
      </c>
      <c r="B306" s="58" t="s">
        <v>1597</v>
      </c>
      <c r="C306" s="58" t="s">
        <v>1603</v>
      </c>
      <c r="D306" s="58" t="s">
        <v>1606</v>
      </c>
      <c r="E306" s="58">
        <v>9</v>
      </c>
      <c r="F306" s="58">
        <v>28189</v>
      </c>
      <c r="G306" s="58">
        <v>253701</v>
      </c>
    </row>
    <row r="307" spans="1:7" x14ac:dyDescent="0.3">
      <c r="A307" s="58" t="s">
        <v>1593</v>
      </c>
      <c r="B307" s="58" t="s">
        <v>1599</v>
      </c>
      <c r="C307" s="58" t="s">
        <v>1603</v>
      </c>
      <c r="D307" s="58" t="s">
        <v>1606</v>
      </c>
      <c r="E307" s="58">
        <v>5</v>
      </c>
      <c r="F307" s="58">
        <v>11021</v>
      </c>
      <c r="G307" s="58">
        <v>55105</v>
      </c>
    </row>
    <row r="308" spans="1:7" x14ac:dyDescent="0.3">
      <c r="A308" s="58" t="s">
        <v>1590</v>
      </c>
      <c r="B308" s="58" t="s">
        <v>1597</v>
      </c>
      <c r="C308" s="58" t="s">
        <v>1592</v>
      </c>
      <c r="D308" s="58" t="s">
        <v>1600</v>
      </c>
      <c r="E308" s="58">
        <v>5</v>
      </c>
      <c r="F308" s="58">
        <v>2943</v>
      </c>
      <c r="G308" s="58">
        <v>14715</v>
      </c>
    </row>
    <row r="309" spans="1:7" x14ac:dyDescent="0.3">
      <c r="A309" s="58" t="s">
        <v>1602</v>
      </c>
      <c r="B309" s="58" t="s">
        <v>1599</v>
      </c>
      <c r="C309" s="58" t="s">
        <v>1603</v>
      </c>
      <c r="D309" s="58" t="s">
        <v>1591</v>
      </c>
      <c r="E309" s="58">
        <v>4</v>
      </c>
      <c r="F309" s="58">
        <v>19499</v>
      </c>
      <c r="G309" s="58">
        <v>77996</v>
      </c>
    </row>
    <row r="310" spans="1:7" x14ac:dyDescent="0.3">
      <c r="A310" s="58" t="s">
        <v>1590</v>
      </c>
      <c r="B310" s="58" t="s">
        <v>1599</v>
      </c>
      <c r="C310" s="58" t="s">
        <v>1588</v>
      </c>
      <c r="D310" s="58" t="s">
        <v>1594</v>
      </c>
      <c r="E310" s="58">
        <v>3</v>
      </c>
      <c r="F310" s="58">
        <v>28778</v>
      </c>
      <c r="G310" s="58">
        <v>86334</v>
      </c>
    </row>
    <row r="311" spans="1:7" x14ac:dyDescent="0.3">
      <c r="A311" s="58" t="s">
        <v>1593</v>
      </c>
      <c r="B311" s="58" t="s">
        <v>1589</v>
      </c>
      <c r="C311" s="58" t="s">
        <v>1595</v>
      </c>
      <c r="D311" s="58" t="s">
        <v>1600</v>
      </c>
      <c r="E311" s="58">
        <v>6</v>
      </c>
      <c r="F311" s="58">
        <v>15167</v>
      </c>
      <c r="G311" s="58">
        <v>91002</v>
      </c>
    </row>
    <row r="312" spans="1:7" x14ac:dyDescent="0.3">
      <c r="A312" s="58" t="s">
        <v>1602</v>
      </c>
      <c r="B312" s="58" t="s">
        <v>1599</v>
      </c>
      <c r="C312" s="58" t="s">
        <v>1588</v>
      </c>
      <c r="D312" s="58" t="s">
        <v>1606</v>
      </c>
      <c r="E312" s="58">
        <v>8</v>
      </c>
      <c r="F312" s="58">
        <v>19421</v>
      </c>
      <c r="G312" s="58">
        <v>155368</v>
      </c>
    </row>
    <row r="313" spans="1:7" x14ac:dyDescent="0.3">
      <c r="A313" s="58" t="s">
        <v>1590</v>
      </c>
      <c r="B313" s="58" t="s">
        <v>1589</v>
      </c>
      <c r="C313" s="58" t="s">
        <v>1603</v>
      </c>
      <c r="D313" s="58" t="s">
        <v>1600</v>
      </c>
      <c r="E313" s="58">
        <v>9</v>
      </c>
      <c r="F313" s="58">
        <v>8089</v>
      </c>
      <c r="G313" s="58">
        <v>72801</v>
      </c>
    </row>
    <row r="314" spans="1:7" x14ac:dyDescent="0.3">
      <c r="A314" s="58" t="s">
        <v>1602</v>
      </c>
      <c r="B314" s="58" t="s">
        <v>1605</v>
      </c>
      <c r="C314" s="58" t="s">
        <v>1592</v>
      </c>
      <c r="D314" s="58" t="s">
        <v>1606</v>
      </c>
      <c r="E314" s="58">
        <v>1</v>
      </c>
      <c r="F314" s="58">
        <v>12234</v>
      </c>
      <c r="G314" s="58">
        <v>12234</v>
      </c>
    </row>
    <row r="315" spans="1:7" x14ac:dyDescent="0.3">
      <c r="A315" s="58" t="s">
        <v>1602</v>
      </c>
      <c r="B315" s="58" t="s">
        <v>1605</v>
      </c>
      <c r="C315" s="58" t="s">
        <v>1595</v>
      </c>
      <c r="D315" s="58" t="s">
        <v>1606</v>
      </c>
      <c r="E315" s="58">
        <v>5</v>
      </c>
      <c r="F315" s="58">
        <v>23160</v>
      </c>
      <c r="G315" s="58">
        <v>115800</v>
      </c>
    </row>
    <row r="316" spans="1:7" x14ac:dyDescent="0.3">
      <c r="A316" s="58" t="s">
        <v>1601</v>
      </c>
      <c r="B316" s="58" t="s">
        <v>1589</v>
      </c>
      <c r="C316" s="58" t="s">
        <v>1595</v>
      </c>
      <c r="D316" s="58" t="s">
        <v>1600</v>
      </c>
      <c r="E316" s="58">
        <v>10</v>
      </c>
      <c r="F316" s="58">
        <v>4837</v>
      </c>
      <c r="G316" s="58">
        <v>48370</v>
      </c>
    </row>
    <row r="317" spans="1:7" x14ac:dyDescent="0.3">
      <c r="A317" s="58" t="s">
        <v>1604</v>
      </c>
      <c r="B317" s="58" t="s">
        <v>1597</v>
      </c>
      <c r="C317" s="58" t="s">
        <v>1595</v>
      </c>
      <c r="D317" s="58" t="s">
        <v>1594</v>
      </c>
      <c r="E317" s="58">
        <v>10</v>
      </c>
      <c r="F317" s="58">
        <v>4473</v>
      </c>
      <c r="G317" s="58">
        <v>44730</v>
      </c>
    </row>
    <row r="318" spans="1:7" x14ac:dyDescent="0.3">
      <c r="A318" s="58" t="s">
        <v>1602</v>
      </c>
      <c r="B318" s="58" t="s">
        <v>1597</v>
      </c>
      <c r="C318" s="58" t="s">
        <v>1595</v>
      </c>
      <c r="D318" s="58" t="s">
        <v>1587</v>
      </c>
      <c r="E318" s="58">
        <v>8</v>
      </c>
      <c r="F318" s="58">
        <v>5885</v>
      </c>
      <c r="G318" s="58">
        <v>47080</v>
      </c>
    </row>
    <row r="319" spans="1:7" x14ac:dyDescent="0.3">
      <c r="A319" s="58" t="s">
        <v>1593</v>
      </c>
      <c r="B319" s="58" t="s">
        <v>1599</v>
      </c>
      <c r="C319" s="58" t="s">
        <v>1592</v>
      </c>
      <c r="D319" s="58" t="s">
        <v>1591</v>
      </c>
      <c r="E319" s="58">
        <v>7</v>
      </c>
      <c r="F319" s="58">
        <v>23350</v>
      </c>
      <c r="G319" s="58">
        <v>163450</v>
      </c>
    </row>
    <row r="320" spans="1:7" x14ac:dyDescent="0.3">
      <c r="A320" s="58" t="s">
        <v>1604</v>
      </c>
      <c r="B320" s="58" t="s">
        <v>1605</v>
      </c>
      <c r="C320" s="58" t="s">
        <v>1596</v>
      </c>
      <c r="D320" s="58" t="s">
        <v>1598</v>
      </c>
      <c r="E320" s="58">
        <v>6</v>
      </c>
      <c r="F320" s="58">
        <v>22934</v>
      </c>
      <c r="G320" s="58">
        <v>137604</v>
      </c>
    </row>
    <row r="321" spans="1:7" x14ac:dyDescent="0.3">
      <c r="A321" s="58" t="s">
        <v>1604</v>
      </c>
      <c r="B321" s="58" t="s">
        <v>1599</v>
      </c>
      <c r="C321" s="58" t="s">
        <v>1603</v>
      </c>
      <c r="D321" s="58" t="s">
        <v>1606</v>
      </c>
      <c r="E321" s="58">
        <v>10</v>
      </c>
      <c r="F321" s="58">
        <v>8794</v>
      </c>
      <c r="G321" s="58">
        <v>87940</v>
      </c>
    </row>
    <row r="322" spans="1:7" x14ac:dyDescent="0.3">
      <c r="A322" s="58" t="s">
        <v>1604</v>
      </c>
      <c r="B322" s="58" t="s">
        <v>1589</v>
      </c>
      <c r="C322" s="58" t="s">
        <v>1588</v>
      </c>
      <c r="D322" s="58" t="s">
        <v>1598</v>
      </c>
      <c r="E322" s="58">
        <v>7</v>
      </c>
      <c r="F322" s="58">
        <v>18895</v>
      </c>
      <c r="G322" s="58">
        <v>132265</v>
      </c>
    </row>
    <row r="323" spans="1:7" x14ac:dyDescent="0.3">
      <c r="A323" s="58" t="s">
        <v>1593</v>
      </c>
      <c r="B323" s="58" t="s">
        <v>1589</v>
      </c>
      <c r="C323" s="58" t="s">
        <v>1596</v>
      </c>
      <c r="D323" s="58" t="s">
        <v>1587</v>
      </c>
      <c r="E323" s="58">
        <v>9</v>
      </c>
      <c r="F323" s="58">
        <v>4056</v>
      </c>
      <c r="G323" s="58">
        <v>36504</v>
      </c>
    </row>
    <row r="324" spans="1:7" x14ac:dyDescent="0.3">
      <c r="A324" s="58" t="s">
        <v>1604</v>
      </c>
      <c r="B324" s="58" t="s">
        <v>1597</v>
      </c>
      <c r="C324" s="58" t="s">
        <v>1588</v>
      </c>
      <c r="D324" s="58" t="s">
        <v>1587</v>
      </c>
      <c r="E324" s="58">
        <v>9</v>
      </c>
      <c r="F324" s="58">
        <v>21918</v>
      </c>
      <c r="G324" s="58">
        <v>197262</v>
      </c>
    </row>
    <row r="325" spans="1:7" x14ac:dyDescent="0.3">
      <c r="A325" s="58" t="s">
        <v>1590</v>
      </c>
      <c r="B325" s="58" t="s">
        <v>1605</v>
      </c>
      <c r="C325" s="58" t="s">
        <v>1596</v>
      </c>
      <c r="D325" s="58" t="s">
        <v>1606</v>
      </c>
      <c r="E325" s="58">
        <v>4</v>
      </c>
      <c r="F325" s="58">
        <v>6519</v>
      </c>
      <c r="G325" s="58">
        <v>26076</v>
      </c>
    </row>
    <row r="326" spans="1:7" x14ac:dyDescent="0.3">
      <c r="A326" s="58" t="s">
        <v>1590</v>
      </c>
      <c r="B326" s="58" t="s">
        <v>1599</v>
      </c>
      <c r="C326" s="58" t="s">
        <v>1592</v>
      </c>
      <c r="D326" s="58" t="s">
        <v>1594</v>
      </c>
      <c r="E326" s="58">
        <v>7</v>
      </c>
      <c r="F326" s="58">
        <v>14937</v>
      </c>
      <c r="G326" s="58">
        <v>104559</v>
      </c>
    </row>
    <row r="327" spans="1:7" x14ac:dyDescent="0.3">
      <c r="A327" s="58" t="s">
        <v>1604</v>
      </c>
      <c r="B327" s="58" t="s">
        <v>1597</v>
      </c>
      <c r="C327" s="58" t="s">
        <v>1588</v>
      </c>
      <c r="D327" s="58" t="s">
        <v>1587</v>
      </c>
      <c r="E327" s="58">
        <v>1</v>
      </c>
      <c r="F327" s="58">
        <v>9000</v>
      </c>
      <c r="G327" s="58">
        <v>9000</v>
      </c>
    </row>
    <row r="328" spans="1:7" x14ac:dyDescent="0.3">
      <c r="A328" s="58" t="s">
        <v>1593</v>
      </c>
      <c r="B328" s="58" t="s">
        <v>1589</v>
      </c>
      <c r="C328" s="58" t="s">
        <v>1595</v>
      </c>
      <c r="D328" s="58" t="s">
        <v>1594</v>
      </c>
      <c r="E328" s="58">
        <v>3</v>
      </c>
      <c r="F328" s="58">
        <v>24921</v>
      </c>
      <c r="G328" s="58">
        <v>74763</v>
      </c>
    </row>
    <row r="329" spans="1:7" x14ac:dyDescent="0.3">
      <c r="A329" s="58" t="s">
        <v>1590</v>
      </c>
      <c r="B329" s="58" t="s">
        <v>1605</v>
      </c>
      <c r="C329" s="58" t="s">
        <v>1588</v>
      </c>
      <c r="D329" s="58" t="s">
        <v>1598</v>
      </c>
      <c r="E329" s="58">
        <v>7</v>
      </c>
      <c r="F329" s="58">
        <v>28953</v>
      </c>
      <c r="G329" s="58">
        <v>202671</v>
      </c>
    </row>
    <row r="330" spans="1:7" x14ac:dyDescent="0.3">
      <c r="A330" s="58" t="s">
        <v>1601</v>
      </c>
      <c r="B330" s="58" t="s">
        <v>1605</v>
      </c>
      <c r="C330" s="58" t="s">
        <v>1588</v>
      </c>
      <c r="D330" s="58" t="s">
        <v>1598</v>
      </c>
      <c r="E330" s="58">
        <v>4</v>
      </c>
      <c r="F330" s="58">
        <v>4407</v>
      </c>
      <c r="G330" s="58">
        <v>17628</v>
      </c>
    </row>
    <row r="331" spans="1:7" x14ac:dyDescent="0.3">
      <c r="A331" s="58" t="s">
        <v>1602</v>
      </c>
      <c r="B331" s="58" t="s">
        <v>1597</v>
      </c>
      <c r="C331" s="58" t="s">
        <v>1588</v>
      </c>
      <c r="D331" s="58" t="s">
        <v>1606</v>
      </c>
      <c r="E331" s="58">
        <v>5</v>
      </c>
      <c r="F331" s="58">
        <v>23717</v>
      </c>
      <c r="G331" s="58">
        <v>118585</v>
      </c>
    </row>
    <row r="332" spans="1:7" x14ac:dyDescent="0.3">
      <c r="A332" s="58" t="s">
        <v>1604</v>
      </c>
      <c r="B332" s="58" t="s">
        <v>1599</v>
      </c>
      <c r="C332" s="58" t="s">
        <v>1596</v>
      </c>
      <c r="D332" s="58" t="s">
        <v>1598</v>
      </c>
      <c r="E332" s="58">
        <v>2</v>
      </c>
      <c r="F332" s="58">
        <v>10511</v>
      </c>
      <c r="G332" s="58">
        <v>21022</v>
      </c>
    </row>
    <row r="333" spans="1:7" x14ac:dyDescent="0.3">
      <c r="A333" s="58" t="s">
        <v>1602</v>
      </c>
      <c r="B333" s="58" t="s">
        <v>1599</v>
      </c>
      <c r="C333" s="58" t="s">
        <v>1596</v>
      </c>
      <c r="D333" s="58" t="s">
        <v>1598</v>
      </c>
      <c r="E333" s="58">
        <v>2</v>
      </c>
      <c r="F333" s="58">
        <v>21221</v>
      </c>
      <c r="G333" s="58">
        <v>42442</v>
      </c>
    </row>
    <row r="334" spans="1:7" x14ac:dyDescent="0.3">
      <c r="A334" s="58" t="s">
        <v>1590</v>
      </c>
      <c r="B334" s="58" t="s">
        <v>1605</v>
      </c>
      <c r="C334" s="58" t="s">
        <v>1588</v>
      </c>
      <c r="D334" s="58" t="s">
        <v>1587</v>
      </c>
      <c r="E334" s="58">
        <v>4</v>
      </c>
      <c r="F334" s="58">
        <v>19911</v>
      </c>
      <c r="G334" s="58">
        <v>79644</v>
      </c>
    </row>
    <row r="335" spans="1:7" x14ac:dyDescent="0.3">
      <c r="A335" s="58" t="s">
        <v>1593</v>
      </c>
      <c r="B335" s="58" t="s">
        <v>1605</v>
      </c>
      <c r="C335" s="58" t="s">
        <v>1588</v>
      </c>
      <c r="D335" s="58" t="s">
        <v>1594</v>
      </c>
      <c r="E335" s="58">
        <v>8</v>
      </c>
      <c r="F335" s="58">
        <v>21628</v>
      </c>
      <c r="G335" s="58">
        <v>173024</v>
      </c>
    </row>
    <row r="336" spans="1:7" x14ac:dyDescent="0.3">
      <c r="A336" s="58" t="s">
        <v>1590</v>
      </c>
      <c r="B336" s="58" t="s">
        <v>1589</v>
      </c>
      <c r="C336" s="58" t="s">
        <v>1588</v>
      </c>
      <c r="D336" s="58" t="s">
        <v>1606</v>
      </c>
      <c r="E336" s="58">
        <v>9</v>
      </c>
      <c r="F336" s="58">
        <v>16296</v>
      </c>
      <c r="G336" s="58">
        <v>146664</v>
      </c>
    </row>
    <row r="337" spans="1:7" x14ac:dyDescent="0.3">
      <c r="A337" s="58" t="s">
        <v>1604</v>
      </c>
      <c r="B337" s="58" t="s">
        <v>1589</v>
      </c>
      <c r="C337" s="58" t="s">
        <v>1596</v>
      </c>
      <c r="D337" s="58" t="s">
        <v>1591</v>
      </c>
      <c r="E337" s="58">
        <v>1</v>
      </c>
      <c r="F337" s="58">
        <v>17713</v>
      </c>
      <c r="G337" s="58">
        <v>17713</v>
      </c>
    </row>
    <row r="338" spans="1:7" x14ac:dyDescent="0.3">
      <c r="A338" s="58" t="s">
        <v>1601</v>
      </c>
      <c r="B338" s="58" t="s">
        <v>1597</v>
      </c>
      <c r="C338" s="58" t="s">
        <v>1596</v>
      </c>
      <c r="D338" s="58" t="s">
        <v>1587</v>
      </c>
      <c r="E338" s="58">
        <v>10</v>
      </c>
      <c r="F338" s="58">
        <v>19823</v>
      </c>
      <c r="G338" s="58">
        <v>198230</v>
      </c>
    </row>
    <row r="339" spans="1:7" x14ac:dyDescent="0.3">
      <c r="A339" s="58" t="s">
        <v>1593</v>
      </c>
      <c r="B339" s="58" t="s">
        <v>1599</v>
      </c>
      <c r="C339" s="58" t="s">
        <v>1596</v>
      </c>
      <c r="D339" s="58" t="s">
        <v>1587</v>
      </c>
      <c r="E339" s="58">
        <v>6</v>
      </c>
      <c r="F339" s="58">
        <v>24759</v>
      </c>
      <c r="G339" s="58">
        <v>148554</v>
      </c>
    </row>
    <row r="340" spans="1:7" x14ac:dyDescent="0.3">
      <c r="A340" s="58" t="s">
        <v>1593</v>
      </c>
      <c r="B340" s="58" t="s">
        <v>1605</v>
      </c>
      <c r="C340" s="58" t="s">
        <v>1592</v>
      </c>
      <c r="D340" s="58" t="s">
        <v>1594</v>
      </c>
      <c r="E340" s="58">
        <v>10</v>
      </c>
      <c r="F340" s="58">
        <v>19673</v>
      </c>
      <c r="G340" s="58">
        <v>196730</v>
      </c>
    </row>
    <row r="341" spans="1:7" x14ac:dyDescent="0.3">
      <c r="A341" s="58" t="s">
        <v>1604</v>
      </c>
      <c r="B341" s="58" t="s">
        <v>1599</v>
      </c>
      <c r="C341" s="58" t="s">
        <v>1596</v>
      </c>
      <c r="D341" s="58" t="s">
        <v>1606</v>
      </c>
      <c r="E341" s="58">
        <v>9</v>
      </c>
      <c r="F341" s="58">
        <v>23814</v>
      </c>
      <c r="G341" s="58">
        <v>214326</v>
      </c>
    </row>
    <row r="342" spans="1:7" x14ac:dyDescent="0.3">
      <c r="A342" s="58" t="s">
        <v>1604</v>
      </c>
      <c r="B342" s="58" t="s">
        <v>1589</v>
      </c>
      <c r="C342" s="58" t="s">
        <v>1603</v>
      </c>
      <c r="D342" s="58" t="s">
        <v>1587</v>
      </c>
      <c r="E342" s="58">
        <v>10</v>
      </c>
      <c r="F342" s="58">
        <v>12436</v>
      </c>
      <c r="G342" s="58">
        <v>124360</v>
      </c>
    </row>
    <row r="343" spans="1:7" x14ac:dyDescent="0.3">
      <c r="A343" s="58" t="s">
        <v>1601</v>
      </c>
      <c r="B343" s="58" t="s">
        <v>1597</v>
      </c>
      <c r="C343" s="58" t="s">
        <v>1595</v>
      </c>
      <c r="D343" s="58" t="s">
        <v>1606</v>
      </c>
      <c r="E343" s="58">
        <v>5</v>
      </c>
      <c r="F343" s="58">
        <v>17262</v>
      </c>
      <c r="G343" s="58">
        <v>86310</v>
      </c>
    </row>
    <row r="344" spans="1:7" x14ac:dyDescent="0.3">
      <c r="A344" s="58" t="s">
        <v>1593</v>
      </c>
      <c r="B344" s="58" t="s">
        <v>1597</v>
      </c>
      <c r="C344" s="58" t="s">
        <v>1595</v>
      </c>
      <c r="D344" s="58" t="s">
        <v>1591</v>
      </c>
      <c r="E344" s="58">
        <v>10</v>
      </c>
      <c r="F344" s="58">
        <v>17654</v>
      </c>
      <c r="G344" s="58">
        <v>176540</v>
      </c>
    </row>
    <row r="345" spans="1:7" x14ac:dyDescent="0.3">
      <c r="A345" s="58" t="s">
        <v>1602</v>
      </c>
      <c r="B345" s="58" t="s">
        <v>1599</v>
      </c>
      <c r="C345" s="58" t="s">
        <v>1592</v>
      </c>
      <c r="D345" s="58" t="s">
        <v>1594</v>
      </c>
      <c r="E345" s="58">
        <v>2</v>
      </c>
      <c r="F345" s="58">
        <v>17044</v>
      </c>
      <c r="G345" s="58">
        <v>34088</v>
      </c>
    </row>
    <row r="346" spans="1:7" x14ac:dyDescent="0.3">
      <c r="A346" s="58" t="s">
        <v>1602</v>
      </c>
      <c r="B346" s="58" t="s">
        <v>1605</v>
      </c>
      <c r="C346" s="58" t="s">
        <v>1596</v>
      </c>
      <c r="D346" s="58" t="s">
        <v>1594</v>
      </c>
      <c r="E346" s="58">
        <v>10</v>
      </c>
      <c r="F346" s="58">
        <v>28324</v>
      </c>
      <c r="G346" s="58">
        <v>283240</v>
      </c>
    </row>
    <row r="347" spans="1:7" x14ac:dyDescent="0.3">
      <c r="A347" s="58" t="s">
        <v>1601</v>
      </c>
      <c r="B347" s="58" t="s">
        <v>1597</v>
      </c>
      <c r="C347" s="58" t="s">
        <v>1595</v>
      </c>
      <c r="D347" s="58" t="s">
        <v>1600</v>
      </c>
      <c r="E347" s="58">
        <v>10</v>
      </c>
      <c r="F347" s="58">
        <v>17525</v>
      </c>
      <c r="G347" s="58">
        <v>175250</v>
      </c>
    </row>
    <row r="348" spans="1:7" x14ac:dyDescent="0.3">
      <c r="A348" s="58" t="s">
        <v>1590</v>
      </c>
      <c r="B348" s="58" t="s">
        <v>1597</v>
      </c>
      <c r="C348" s="58" t="s">
        <v>1588</v>
      </c>
      <c r="D348" s="58" t="s">
        <v>1594</v>
      </c>
      <c r="E348" s="58">
        <v>8</v>
      </c>
      <c r="F348" s="58">
        <v>13071</v>
      </c>
      <c r="G348" s="58">
        <v>104568</v>
      </c>
    </row>
    <row r="349" spans="1:7" x14ac:dyDescent="0.3">
      <c r="A349" s="58" t="s">
        <v>1604</v>
      </c>
      <c r="B349" s="58" t="s">
        <v>1605</v>
      </c>
      <c r="C349" s="58" t="s">
        <v>1592</v>
      </c>
      <c r="D349" s="58" t="s">
        <v>1594</v>
      </c>
      <c r="E349" s="58">
        <v>10</v>
      </c>
      <c r="F349" s="58">
        <v>18611</v>
      </c>
      <c r="G349" s="58">
        <v>186110</v>
      </c>
    </row>
    <row r="350" spans="1:7" x14ac:dyDescent="0.3">
      <c r="A350" s="58" t="s">
        <v>1601</v>
      </c>
      <c r="B350" s="58" t="s">
        <v>1599</v>
      </c>
      <c r="C350" s="58" t="s">
        <v>1592</v>
      </c>
      <c r="D350" s="58" t="s">
        <v>1598</v>
      </c>
      <c r="E350" s="58">
        <v>8</v>
      </c>
      <c r="F350" s="58">
        <v>20994</v>
      </c>
      <c r="G350" s="58">
        <v>167952</v>
      </c>
    </row>
    <row r="351" spans="1:7" x14ac:dyDescent="0.3">
      <c r="A351" s="58" t="s">
        <v>1602</v>
      </c>
      <c r="B351" s="58" t="s">
        <v>1589</v>
      </c>
      <c r="C351" s="58" t="s">
        <v>1595</v>
      </c>
      <c r="D351" s="58" t="s">
        <v>1600</v>
      </c>
      <c r="E351" s="58">
        <v>5</v>
      </c>
      <c r="F351" s="58">
        <v>26749</v>
      </c>
      <c r="G351" s="58">
        <v>133745</v>
      </c>
    </row>
    <row r="352" spans="1:7" x14ac:dyDescent="0.3">
      <c r="A352" s="58" t="s">
        <v>1601</v>
      </c>
      <c r="B352" s="58" t="s">
        <v>1597</v>
      </c>
      <c r="C352" s="58" t="s">
        <v>1588</v>
      </c>
      <c r="D352" s="58" t="s">
        <v>1594</v>
      </c>
      <c r="E352" s="58">
        <v>6</v>
      </c>
      <c r="F352" s="58">
        <v>15968</v>
      </c>
      <c r="G352" s="58">
        <v>95808</v>
      </c>
    </row>
    <row r="353" spans="1:7" x14ac:dyDescent="0.3">
      <c r="A353" s="58" t="s">
        <v>1593</v>
      </c>
      <c r="B353" s="58" t="s">
        <v>1599</v>
      </c>
      <c r="C353" s="58" t="s">
        <v>1592</v>
      </c>
      <c r="D353" s="58" t="s">
        <v>1606</v>
      </c>
      <c r="E353" s="58">
        <v>6</v>
      </c>
      <c r="F353" s="58">
        <v>13695</v>
      </c>
      <c r="G353" s="58">
        <v>82170</v>
      </c>
    </row>
    <row r="354" spans="1:7" x14ac:dyDescent="0.3">
      <c r="A354" s="58" t="s">
        <v>1590</v>
      </c>
      <c r="B354" s="58" t="s">
        <v>1589</v>
      </c>
      <c r="C354" s="58" t="s">
        <v>1596</v>
      </c>
      <c r="D354" s="58" t="s">
        <v>1600</v>
      </c>
      <c r="E354" s="58">
        <v>6</v>
      </c>
      <c r="F354" s="58">
        <v>22607</v>
      </c>
      <c r="G354" s="58">
        <v>135642</v>
      </c>
    </row>
    <row r="355" spans="1:7" x14ac:dyDescent="0.3">
      <c r="A355" s="58" t="s">
        <v>1602</v>
      </c>
      <c r="B355" s="58" t="s">
        <v>1589</v>
      </c>
      <c r="C355" s="58" t="s">
        <v>1596</v>
      </c>
      <c r="D355" s="58" t="s">
        <v>1600</v>
      </c>
      <c r="E355" s="58">
        <v>7</v>
      </c>
      <c r="F355" s="58">
        <v>10081</v>
      </c>
      <c r="G355" s="58">
        <v>70567</v>
      </c>
    </row>
    <row r="356" spans="1:7" x14ac:dyDescent="0.3">
      <c r="A356" s="58" t="s">
        <v>1590</v>
      </c>
      <c r="B356" s="58" t="s">
        <v>1589</v>
      </c>
      <c r="C356" s="58" t="s">
        <v>1588</v>
      </c>
      <c r="D356" s="58" t="s">
        <v>1598</v>
      </c>
      <c r="E356" s="58">
        <v>10</v>
      </c>
      <c r="F356" s="58">
        <v>21631</v>
      </c>
      <c r="G356" s="58">
        <v>216310</v>
      </c>
    </row>
    <row r="357" spans="1:7" x14ac:dyDescent="0.3">
      <c r="A357" s="58" t="s">
        <v>1602</v>
      </c>
      <c r="B357" s="58" t="s">
        <v>1589</v>
      </c>
      <c r="C357" s="58" t="s">
        <v>1595</v>
      </c>
      <c r="D357" s="58" t="s">
        <v>1591</v>
      </c>
      <c r="E357" s="58">
        <v>4</v>
      </c>
      <c r="F357" s="58">
        <v>5552</v>
      </c>
      <c r="G357" s="58">
        <v>22208</v>
      </c>
    </row>
    <row r="358" spans="1:7" x14ac:dyDescent="0.3">
      <c r="A358" s="58" t="s">
        <v>1602</v>
      </c>
      <c r="B358" s="58" t="s">
        <v>1599</v>
      </c>
      <c r="C358" s="58" t="s">
        <v>1603</v>
      </c>
      <c r="D358" s="58" t="s">
        <v>1587</v>
      </c>
      <c r="E358" s="58">
        <v>7</v>
      </c>
      <c r="F358" s="58">
        <v>1756</v>
      </c>
      <c r="G358" s="58">
        <v>12292</v>
      </c>
    </row>
    <row r="359" spans="1:7" x14ac:dyDescent="0.3">
      <c r="A359" s="58" t="s">
        <v>1590</v>
      </c>
      <c r="B359" s="58" t="s">
        <v>1599</v>
      </c>
      <c r="C359" s="58" t="s">
        <v>1592</v>
      </c>
      <c r="D359" s="58" t="s">
        <v>1587</v>
      </c>
      <c r="E359" s="58">
        <v>3</v>
      </c>
      <c r="F359" s="58">
        <v>1632</v>
      </c>
      <c r="G359" s="58">
        <v>4896</v>
      </c>
    </row>
    <row r="360" spans="1:7" x14ac:dyDescent="0.3">
      <c r="A360" s="58" t="s">
        <v>1590</v>
      </c>
      <c r="B360" s="58" t="s">
        <v>1605</v>
      </c>
      <c r="C360" s="58" t="s">
        <v>1596</v>
      </c>
      <c r="D360" s="58" t="s">
        <v>1606</v>
      </c>
      <c r="E360" s="58">
        <v>9</v>
      </c>
      <c r="F360" s="58">
        <v>6009</v>
      </c>
      <c r="G360" s="58">
        <v>54081</v>
      </c>
    </row>
    <row r="361" spans="1:7" x14ac:dyDescent="0.3">
      <c r="A361" s="58" t="s">
        <v>1601</v>
      </c>
      <c r="B361" s="58" t="s">
        <v>1599</v>
      </c>
      <c r="C361" s="58" t="s">
        <v>1595</v>
      </c>
      <c r="D361" s="58" t="s">
        <v>1598</v>
      </c>
      <c r="E361" s="58">
        <v>9</v>
      </c>
      <c r="F361" s="58">
        <v>27798</v>
      </c>
      <c r="G361" s="58">
        <v>250182</v>
      </c>
    </row>
    <row r="362" spans="1:7" x14ac:dyDescent="0.3">
      <c r="A362" s="58" t="s">
        <v>1590</v>
      </c>
      <c r="B362" s="58" t="s">
        <v>1599</v>
      </c>
      <c r="C362" s="58" t="s">
        <v>1595</v>
      </c>
      <c r="D362" s="58" t="s">
        <v>1591</v>
      </c>
      <c r="E362" s="58">
        <v>6</v>
      </c>
      <c r="F362" s="58">
        <v>22062</v>
      </c>
      <c r="G362" s="58">
        <v>132372</v>
      </c>
    </row>
    <row r="363" spans="1:7" x14ac:dyDescent="0.3">
      <c r="A363" s="58" t="s">
        <v>1602</v>
      </c>
      <c r="B363" s="58" t="s">
        <v>1589</v>
      </c>
      <c r="C363" s="58" t="s">
        <v>1603</v>
      </c>
      <c r="D363" s="58" t="s">
        <v>1598</v>
      </c>
      <c r="E363" s="58">
        <v>8</v>
      </c>
      <c r="F363" s="58">
        <v>15119</v>
      </c>
      <c r="G363" s="58">
        <v>120952</v>
      </c>
    </row>
    <row r="364" spans="1:7" x14ac:dyDescent="0.3">
      <c r="A364" s="58" t="s">
        <v>1604</v>
      </c>
      <c r="B364" s="58" t="s">
        <v>1605</v>
      </c>
      <c r="C364" s="58" t="s">
        <v>1596</v>
      </c>
      <c r="D364" s="58" t="s">
        <v>1598</v>
      </c>
      <c r="E364" s="58">
        <v>10</v>
      </c>
      <c r="F364" s="58">
        <v>17255</v>
      </c>
      <c r="G364" s="58">
        <v>172550</v>
      </c>
    </row>
    <row r="365" spans="1:7" x14ac:dyDescent="0.3">
      <c r="A365" s="58" t="s">
        <v>1604</v>
      </c>
      <c r="B365" s="58" t="s">
        <v>1597</v>
      </c>
      <c r="C365" s="58" t="s">
        <v>1592</v>
      </c>
      <c r="D365" s="58" t="s">
        <v>1594</v>
      </c>
      <c r="E365" s="58">
        <v>5</v>
      </c>
      <c r="F365" s="58">
        <v>15756</v>
      </c>
      <c r="G365" s="58">
        <v>78780</v>
      </c>
    </row>
    <row r="366" spans="1:7" x14ac:dyDescent="0.3">
      <c r="A366" s="58" t="s">
        <v>1602</v>
      </c>
      <c r="B366" s="58" t="s">
        <v>1599</v>
      </c>
      <c r="C366" s="58" t="s">
        <v>1596</v>
      </c>
      <c r="D366" s="58" t="s">
        <v>1598</v>
      </c>
      <c r="E366" s="58">
        <v>6</v>
      </c>
      <c r="F366" s="58">
        <v>27819</v>
      </c>
      <c r="G366" s="58">
        <v>166914</v>
      </c>
    </row>
    <row r="367" spans="1:7" x14ac:dyDescent="0.3">
      <c r="A367" s="58" t="s">
        <v>1604</v>
      </c>
      <c r="B367" s="58" t="s">
        <v>1605</v>
      </c>
      <c r="C367" s="58" t="s">
        <v>1595</v>
      </c>
      <c r="D367" s="58" t="s">
        <v>1591</v>
      </c>
      <c r="E367" s="58">
        <v>3</v>
      </c>
      <c r="F367" s="58">
        <v>17329</v>
      </c>
      <c r="G367" s="58">
        <v>51987</v>
      </c>
    </row>
    <row r="368" spans="1:7" x14ac:dyDescent="0.3">
      <c r="A368" s="58" t="s">
        <v>1593</v>
      </c>
      <c r="B368" s="58" t="s">
        <v>1589</v>
      </c>
      <c r="C368" s="58" t="s">
        <v>1588</v>
      </c>
      <c r="D368" s="58" t="s">
        <v>1591</v>
      </c>
      <c r="E368" s="58">
        <v>4</v>
      </c>
      <c r="F368" s="58">
        <v>14778</v>
      </c>
      <c r="G368" s="58">
        <v>59112</v>
      </c>
    </row>
    <row r="369" spans="1:7" x14ac:dyDescent="0.3">
      <c r="A369" s="58" t="s">
        <v>1601</v>
      </c>
      <c r="B369" s="58" t="s">
        <v>1597</v>
      </c>
      <c r="C369" s="58" t="s">
        <v>1592</v>
      </c>
      <c r="D369" s="58" t="s">
        <v>1598</v>
      </c>
      <c r="E369" s="58">
        <v>9</v>
      </c>
      <c r="F369" s="58">
        <v>22102</v>
      </c>
      <c r="G369" s="58">
        <v>198918</v>
      </c>
    </row>
    <row r="370" spans="1:7" x14ac:dyDescent="0.3">
      <c r="A370" s="58" t="s">
        <v>1590</v>
      </c>
      <c r="B370" s="58" t="s">
        <v>1589</v>
      </c>
      <c r="C370" s="58" t="s">
        <v>1588</v>
      </c>
      <c r="D370" s="58" t="s">
        <v>1591</v>
      </c>
      <c r="E370" s="58">
        <v>6</v>
      </c>
      <c r="F370" s="58">
        <v>25677</v>
      </c>
      <c r="G370" s="58">
        <v>154062</v>
      </c>
    </row>
    <row r="371" spans="1:7" x14ac:dyDescent="0.3">
      <c r="A371" s="58" t="s">
        <v>1590</v>
      </c>
      <c r="B371" s="58" t="s">
        <v>1597</v>
      </c>
      <c r="C371" s="58" t="s">
        <v>1595</v>
      </c>
      <c r="D371" s="58" t="s">
        <v>1606</v>
      </c>
      <c r="E371" s="58">
        <v>2</v>
      </c>
      <c r="F371" s="58">
        <v>17270</v>
      </c>
      <c r="G371" s="58">
        <v>34540</v>
      </c>
    </row>
    <row r="372" spans="1:7" x14ac:dyDescent="0.3">
      <c r="A372" s="58" t="s">
        <v>1593</v>
      </c>
      <c r="B372" s="58" t="s">
        <v>1597</v>
      </c>
      <c r="C372" s="58" t="s">
        <v>1596</v>
      </c>
      <c r="D372" s="58" t="s">
        <v>1606</v>
      </c>
      <c r="E372" s="58">
        <v>10</v>
      </c>
      <c r="F372" s="58">
        <v>4414</v>
      </c>
      <c r="G372" s="58">
        <v>44140</v>
      </c>
    </row>
    <row r="373" spans="1:7" x14ac:dyDescent="0.3">
      <c r="A373" s="58" t="s">
        <v>1601</v>
      </c>
      <c r="B373" s="58" t="s">
        <v>1605</v>
      </c>
      <c r="C373" s="58" t="s">
        <v>1588</v>
      </c>
      <c r="D373" s="58" t="s">
        <v>1606</v>
      </c>
      <c r="E373" s="58">
        <v>8</v>
      </c>
      <c r="F373" s="58">
        <v>8793</v>
      </c>
      <c r="G373" s="58">
        <v>70344</v>
      </c>
    </row>
    <row r="374" spans="1:7" x14ac:dyDescent="0.3">
      <c r="A374" s="58" t="s">
        <v>1590</v>
      </c>
      <c r="B374" s="58" t="s">
        <v>1599</v>
      </c>
      <c r="C374" s="58" t="s">
        <v>1588</v>
      </c>
      <c r="D374" s="58" t="s">
        <v>1591</v>
      </c>
      <c r="E374" s="58">
        <v>2</v>
      </c>
      <c r="F374" s="58">
        <v>5281</v>
      </c>
      <c r="G374" s="58">
        <v>10562</v>
      </c>
    </row>
    <row r="375" spans="1:7" x14ac:dyDescent="0.3">
      <c r="A375" s="58" t="s">
        <v>1602</v>
      </c>
      <c r="B375" s="58" t="s">
        <v>1599</v>
      </c>
      <c r="C375" s="58" t="s">
        <v>1603</v>
      </c>
      <c r="D375" s="58" t="s">
        <v>1600</v>
      </c>
      <c r="E375" s="58">
        <v>7</v>
      </c>
      <c r="F375" s="58">
        <v>8366</v>
      </c>
      <c r="G375" s="58">
        <v>58562</v>
      </c>
    </row>
    <row r="376" spans="1:7" x14ac:dyDescent="0.3">
      <c r="A376" s="58" t="s">
        <v>1593</v>
      </c>
      <c r="B376" s="58" t="s">
        <v>1599</v>
      </c>
      <c r="C376" s="58" t="s">
        <v>1592</v>
      </c>
      <c r="D376" s="58" t="s">
        <v>1591</v>
      </c>
      <c r="E376" s="58">
        <v>7</v>
      </c>
      <c r="F376" s="58">
        <v>12268</v>
      </c>
      <c r="G376" s="58">
        <v>85876</v>
      </c>
    </row>
    <row r="377" spans="1:7" x14ac:dyDescent="0.3">
      <c r="A377" s="58" t="s">
        <v>1590</v>
      </c>
      <c r="B377" s="58" t="s">
        <v>1589</v>
      </c>
      <c r="C377" s="58" t="s">
        <v>1588</v>
      </c>
      <c r="D377" s="58" t="s">
        <v>1591</v>
      </c>
      <c r="E377" s="58">
        <v>9</v>
      </c>
      <c r="F377" s="58">
        <v>23467</v>
      </c>
      <c r="G377" s="58">
        <v>211203</v>
      </c>
    </row>
    <row r="378" spans="1:7" x14ac:dyDescent="0.3">
      <c r="A378" s="58" t="s">
        <v>1602</v>
      </c>
      <c r="B378" s="58" t="s">
        <v>1589</v>
      </c>
      <c r="C378" s="58" t="s">
        <v>1588</v>
      </c>
      <c r="D378" s="58" t="s">
        <v>1594</v>
      </c>
      <c r="E378" s="58">
        <v>8</v>
      </c>
      <c r="F378" s="58">
        <v>19347</v>
      </c>
      <c r="G378" s="58">
        <v>154776</v>
      </c>
    </row>
    <row r="379" spans="1:7" x14ac:dyDescent="0.3">
      <c r="A379" s="58" t="s">
        <v>1601</v>
      </c>
      <c r="B379" s="58" t="s">
        <v>1589</v>
      </c>
      <c r="C379" s="58" t="s">
        <v>1592</v>
      </c>
      <c r="D379" s="58" t="s">
        <v>1606</v>
      </c>
      <c r="E379" s="58">
        <v>8</v>
      </c>
      <c r="F379" s="58">
        <v>18916</v>
      </c>
      <c r="G379" s="58">
        <v>151328</v>
      </c>
    </row>
    <row r="380" spans="1:7" x14ac:dyDescent="0.3">
      <c r="A380" s="58" t="s">
        <v>1593</v>
      </c>
      <c r="B380" s="58" t="s">
        <v>1589</v>
      </c>
      <c r="C380" s="58" t="s">
        <v>1592</v>
      </c>
      <c r="D380" s="58" t="s">
        <v>1598</v>
      </c>
      <c r="E380" s="58">
        <v>8</v>
      </c>
      <c r="F380" s="58">
        <v>10992</v>
      </c>
      <c r="G380" s="58">
        <v>87936</v>
      </c>
    </row>
    <row r="381" spans="1:7" x14ac:dyDescent="0.3">
      <c r="A381" s="58" t="s">
        <v>1602</v>
      </c>
      <c r="B381" s="58" t="s">
        <v>1589</v>
      </c>
      <c r="C381" s="58" t="s">
        <v>1603</v>
      </c>
      <c r="D381" s="58" t="s">
        <v>1600</v>
      </c>
      <c r="E381" s="58">
        <v>9</v>
      </c>
      <c r="F381" s="58">
        <v>1908</v>
      </c>
      <c r="G381" s="58">
        <v>17172</v>
      </c>
    </row>
    <row r="382" spans="1:7" x14ac:dyDescent="0.3">
      <c r="A382" s="58" t="s">
        <v>1604</v>
      </c>
      <c r="B382" s="58" t="s">
        <v>1605</v>
      </c>
      <c r="C382" s="58" t="s">
        <v>1596</v>
      </c>
      <c r="D382" s="58" t="s">
        <v>1587</v>
      </c>
      <c r="E382" s="58">
        <v>7</v>
      </c>
      <c r="F382" s="58">
        <v>23316</v>
      </c>
      <c r="G382" s="58">
        <v>163212</v>
      </c>
    </row>
    <row r="383" spans="1:7" x14ac:dyDescent="0.3">
      <c r="A383" s="58" t="s">
        <v>1601</v>
      </c>
      <c r="B383" s="58" t="s">
        <v>1599</v>
      </c>
      <c r="C383" s="58" t="s">
        <v>1596</v>
      </c>
      <c r="D383" s="58" t="s">
        <v>1600</v>
      </c>
      <c r="E383" s="58">
        <v>7</v>
      </c>
      <c r="F383" s="58">
        <v>15857</v>
      </c>
      <c r="G383" s="58">
        <v>110999</v>
      </c>
    </row>
    <row r="384" spans="1:7" x14ac:dyDescent="0.3">
      <c r="A384" s="58" t="s">
        <v>1590</v>
      </c>
      <c r="B384" s="58" t="s">
        <v>1605</v>
      </c>
      <c r="C384" s="58" t="s">
        <v>1595</v>
      </c>
      <c r="D384" s="58" t="s">
        <v>1606</v>
      </c>
      <c r="E384" s="58">
        <v>5</v>
      </c>
      <c r="F384" s="58">
        <v>4049</v>
      </c>
      <c r="G384" s="58">
        <v>20245</v>
      </c>
    </row>
    <row r="385" spans="1:7" x14ac:dyDescent="0.3">
      <c r="A385" s="58" t="s">
        <v>1601</v>
      </c>
      <c r="B385" s="58" t="s">
        <v>1589</v>
      </c>
      <c r="C385" s="58" t="s">
        <v>1596</v>
      </c>
      <c r="D385" s="58" t="s">
        <v>1594</v>
      </c>
      <c r="E385" s="58">
        <v>6</v>
      </c>
      <c r="F385" s="58">
        <v>15100</v>
      </c>
      <c r="G385" s="58">
        <v>90600</v>
      </c>
    </row>
    <row r="386" spans="1:7" x14ac:dyDescent="0.3">
      <c r="A386" s="58" t="s">
        <v>1593</v>
      </c>
      <c r="B386" s="58" t="s">
        <v>1589</v>
      </c>
      <c r="C386" s="58" t="s">
        <v>1595</v>
      </c>
      <c r="D386" s="58" t="s">
        <v>1606</v>
      </c>
      <c r="E386" s="58">
        <v>3</v>
      </c>
      <c r="F386" s="58">
        <v>17531</v>
      </c>
      <c r="G386" s="58">
        <v>52593</v>
      </c>
    </row>
    <row r="387" spans="1:7" x14ac:dyDescent="0.3">
      <c r="A387" s="58" t="s">
        <v>1604</v>
      </c>
      <c r="B387" s="58" t="s">
        <v>1597</v>
      </c>
      <c r="C387" s="58" t="s">
        <v>1595</v>
      </c>
      <c r="D387" s="58" t="s">
        <v>1594</v>
      </c>
      <c r="E387" s="58">
        <v>1</v>
      </c>
      <c r="F387" s="58">
        <v>25476</v>
      </c>
      <c r="G387" s="58">
        <v>25476</v>
      </c>
    </row>
    <row r="388" spans="1:7" x14ac:dyDescent="0.3">
      <c r="A388" s="58" t="s">
        <v>1604</v>
      </c>
      <c r="B388" s="58" t="s">
        <v>1597</v>
      </c>
      <c r="C388" s="58" t="s">
        <v>1603</v>
      </c>
      <c r="D388" s="58" t="s">
        <v>1600</v>
      </c>
      <c r="E388" s="58">
        <v>8</v>
      </c>
      <c r="F388" s="58">
        <v>5771</v>
      </c>
      <c r="G388" s="58">
        <v>46168</v>
      </c>
    </row>
    <row r="389" spans="1:7" x14ac:dyDescent="0.3">
      <c r="A389" s="58" t="s">
        <v>1593</v>
      </c>
      <c r="B389" s="58" t="s">
        <v>1599</v>
      </c>
      <c r="C389" s="58" t="s">
        <v>1603</v>
      </c>
      <c r="D389" s="58" t="s">
        <v>1591</v>
      </c>
      <c r="E389" s="58">
        <v>9</v>
      </c>
      <c r="F389" s="58">
        <v>1649</v>
      </c>
      <c r="G389" s="58">
        <v>14841</v>
      </c>
    </row>
    <row r="390" spans="1:7" x14ac:dyDescent="0.3">
      <c r="A390" s="58" t="s">
        <v>1593</v>
      </c>
      <c r="B390" s="58" t="s">
        <v>1605</v>
      </c>
      <c r="C390" s="58" t="s">
        <v>1603</v>
      </c>
      <c r="D390" s="58" t="s">
        <v>1600</v>
      </c>
      <c r="E390" s="58">
        <v>8</v>
      </c>
      <c r="F390" s="58">
        <v>25866</v>
      </c>
      <c r="G390" s="58">
        <v>206928</v>
      </c>
    </row>
    <row r="391" spans="1:7" x14ac:dyDescent="0.3">
      <c r="A391" s="58" t="s">
        <v>1590</v>
      </c>
      <c r="B391" s="58" t="s">
        <v>1589</v>
      </c>
      <c r="C391" s="58" t="s">
        <v>1595</v>
      </c>
      <c r="D391" s="58" t="s">
        <v>1594</v>
      </c>
      <c r="E391" s="58">
        <v>4</v>
      </c>
      <c r="F391" s="58">
        <v>21389</v>
      </c>
      <c r="G391" s="58">
        <v>85556</v>
      </c>
    </row>
    <row r="392" spans="1:7" x14ac:dyDescent="0.3">
      <c r="A392" s="58" t="s">
        <v>1593</v>
      </c>
      <c r="B392" s="58" t="s">
        <v>1597</v>
      </c>
      <c r="C392" s="58" t="s">
        <v>1603</v>
      </c>
      <c r="D392" s="58" t="s">
        <v>1591</v>
      </c>
      <c r="E392" s="58">
        <v>4</v>
      </c>
      <c r="F392" s="58">
        <v>12517</v>
      </c>
      <c r="G392" s="58">
        <v>50068</v>
      </c>
    </row>
    <row r="393" spans="1:7" x14ac:dyDescent="0.3">
      <c r="A393" s="58" t="s">
        <v>1590</v>
      </c>
      <c r="B393" s="58" t="s">
        <v>1605</v>
      </c>
      <c r="C393" s="58" t="s">
        <v>1588</v>
      </c>
      <c r="D393" s="58" t="s">
        <v>1591</v>
      </c>
      <c r="E393" s="58">
        <v>5</v>
      </c>
      <c r="F393" s="58">
        <v>21099</v>
      </c>
      <c r="G393" s="58">
        <v>105495</v>
      </c>
    </row>
    <row r="394" spans="1:7" x14ac:dyDescent="0.3">
      <c r="A394" s="58" t="s">
        <v>1593</v>
      </c>
      <c r="B394" s="58" t="s">
        <v>1589</v>
      </c>
      <c r="C394" s="58" t="s">
        <v>1595</v>
      </c>
      <c r="D394" s="58" t="s">
        <v>1598</v>
      </c>
      <c r="E394" s="58">
        <v>10</v>
      </c>
      <c r="F394" s="58">
        <v>22312</v>
      </c>
      <c r="G394" s="58">
        <v>223120</v>
      </c>
    </row>
    <row r="395" spans="1:7" x14ac:dyDescent="0.3">
      <c r="A395" s="58" t="s">
        <v>1602</v>
      </c>
      <c r="B395" s="58" t="s">
        <v>1605</v>
      </c>
      <c r="C395" s="58" t="s">
        <v>1588</v>
      </c>
      <c r="D395" s="58" t="s">
        <v>1594</v>
      </c>
      <c r="E395" s="58">
        <v>7</v>
      </c>
      <c r="F395" s="58">
        <v>1135</v>
      </c>
      <c r="G395" s="58">
        <v>7945</v>
      </c>
    </row>
    <row r="396" spans="1:7" x14ac:dyDescent="0.3">
      <c r="A396" s="58" t="s">
        <v>1601</v>
      </c>
      <c r="B396" s="58" t="s">
        <v>1605</v>
      </c>
      <c r="C396" s="58" t="s">
        <v>1595</v>
      </c>
      <c r="D396" s="58" t="s">
        <v>1594</v>
      </c>
      <c r="E396" s="58">
        <v>1</v>
      </c>
      <c r="F396" s="58">
        <v>29941</v>
      </c>
      <c r="G396" s="58">
        <v>29941</v>
      </c>
    </row>
    <row r="397" spans="1:7" x14ac:dyDescent="0.3">
      <c r="A397" s="58" t="s">
        <v>1601</v>
      </c>
      <c r="B397" s="58" t="s">
        <v>1597</v>
      </c>
      <c r="C397" s="58" t="s">
        <v>1603</v>
      </c>
      <c r="D397" s="58" t="s">
        <v>1591</v>
      </c>
      <c r="E397" s="58">
        <v>10</v>
      </c>
      <c r="F397" s="58">
        <v>22642</v>
      </c>
      <c r="G397" s="58">
        <v>226420</v>
      </c>
    </row>
    <row r="398" spans="1:7" x14ac:dyDescent="0.3">
      <c r="A398" s="58" t="s">
        <v>1602</v>
      </c>
      <c r="B398" s="58" t="s">
        <v>1599</v>
      </c>
      <c r="C398" s="58" t="s">
        <v>1588</v>
      </c>
      <c r="D398" s="58" t="s">
        <v>1598</v>
      </c>
      <c r="E398" s="58">
        <v>4</v>
      </c>
      <c r="F398" s="58">
        <v>6639</v>
      </c>
      <c r="G398" s="58">
        <v>26556</v>
      </c>
    </row>
    <row r="399" spans="1:7" x14ac:dyDescent="0.3">
      <c r="A399" s="58" t="s">
        <v>1601</v>
      </c>
      <c r="B399" s="58" t="s">
        <v>1597</v>
      </c>
      <c r="C399" s="58" t="s">
        <v>1595</v>
      </c>
      <c r="D399" s="58" t="s">
        <v>1598</v>
      </c>
      <c r="E399" s="58">
        <v>1</v>
      </c>
      <c r="F399" s="58">
        <v>9206</v>
      </c>
      <c r="G399" s="58">
        <v>9206</v>
      </c>
    </row>
    <row r="400" spans="1:7" x14ac:dyDescent="0.3">
      <c r="A400" s="58" t="s">
        <v>1601</v>
      </c>
      <c r="B400" s="58" t="s">
        <v>1599</v>
      </c>
      <c r="C400" s="58" t="s">
        <v>1603</v>
      </c>
      <c r="D400" s="58" t="s">
        <v>1600</v>
      </c>
      <c r="E400" s="58">
        <v>5</v>
      </c>
      <c r="F400" s="58">
        <v>21041</v>
      </c>
      <c r="G400" s="58">
        <v>105205</v>
      </c>
    </row>
    <row r="401" spans="1:7" x14ac:dyDescent="0.3">
      <c r="A401" s="58" t="s">
        <v>1593</v>
      </c>
      <c r="B401" s="58" t="s">
        <v>1597</v>
      </c>
      <c r="C401" s="58" t="s">
        <v>1603</v>
      </c>
      <c r="D401" s="58" t="s">
        <v>1598</v>
      </c>
      <c r="E401" s="58">
        <v>10</v>
      </c>
      <c r="F401" s="58">
        <v>10683</v>
      </c>
      <c r="G401" s="58">
        <v>106830</v>
      </c>
    </row>
    <row r="402" spans="1:7" x14ac:dyDescent="0.3">
      <c r="A402" s="58" t="s">
        <v>1604</v>
      </c>
      <c r="B402" s="58" t="s">
        <v>1605</v>
      </c>
      <c r="C402" s="58" t="s">
        <v>1596</v>
      </c>
      <c r="D402" s="58" t="s">
        <v>1587</v>
      </c>
      <c r="E402" s="58">
        <v>4</v>
      </c>
      <c r="F402" s="58">
        <v>24832</v>
      </c>
      <c r="G402" s="58">
        <v>99328</v>
      </c>
    </row>
    <row r="403" spans="1:7" x14ac:dyDescent="0.3">
      <c r="A403" s="58" t="s">
        <v>1602</v>
      </c>
      <c r="B403" s="58" t="s">
        <v>1599</v>
      </c>
      <c r="C403" s="58" t="s">
        <v>1588</v>
      </c>
      <c r="D403" s="58" t="s">
        <v>1591</v>
      </c>
      <c r="E403" s="58">
        <v>7</v>
      </c>
      <c r="F403" s="58">
        <v>15524</v>
      </c>
      <c r="G403" s="58">
        <v>108668</v>
      </c>
    </row>
    <row r="404" spans="1:7" x14ac:dyDescent="0.3">
      <c r="A404" s="58" t="s">
        <v>1593</v>
      </c>
      <c r="B404" s="58" t="s">
        <v>1605</v>
      </c>
      <c r="C404" s="58" t="s">
        <v>1592</v>
      </c>
      <c r="D404" s="58" t="s">
        <v>1600</v>
      </c>
      <c r="E404" s="58">
        <v>5</v>
      </c>
      <c r="F404" s="58">
        <v>17455</v>
      </c>
      <c r="G404" s="58">
        <v>87275</v>
      </c>
    </row>
    <row r="405" spans="1:7" x14ac:dyDescent="0.3">
      <c r="A405" s="58" t="s">
        <v>1593</v>
      </c>
      <c r="B405" s="58" t="s">
        <v>1589</v>
      </c>
      <c r="C405" s="58" t="s">
        <v>1596</v>
      </c>
      <c r="D405" s="58" t="s">
        <v>1598</v>
      </c>
      <c r="E405" s="58">
        <v>2</v>
      </c>
      <c r="F405" s="58">
        <v>6475</v>
      </c>
      <c r="G405" s="58">
        <v>12950</v>
      </c>
    </row>
    <row r="406" spans="1:7" x14ac:dyDescent="0.3">
      <c r="A406" s="58" t="s">
        <v>1590</v>
      </c>
      <c r="B406" s="58" t="s">
        <v>1605</v>
      </c>
      <c r="C406" s="58" t="s">
        <v>1588</v>
      </c>
      <c r="D406" s="58" t="s">
        <v>1591</v>
      </c>
      <c r="E406" s="58">
        <v>10</v>
      </c>
      <c r="F406" s="58">
        <v>20448</v>
      </c>
      <c r="G406" s="58">
        <v>204480</v>
      </c>
    </row>
    <row r="407" spans="1:7" x14ac:dyDescent="0.3">
      <c r="A407" s="58" t="s">
        <v>1601</v>
      </c>
      <c r="B407" s="58" t="s">
        <v>1605</v>
      </c>
      <c r="C407" s="58" t="s">
        <v>1588</v>
      </c>
      <c r="D407" s="58" t="s">
        <v>1606</v>
      </c>
      <c r="E407" s="58">
        <v>7</v>
      </c>
      <c r="F407" s="58">
        <v>20448</v>
      </c>
      <c r="G407" s="58">
        <v>143136</v>
      </c>
    </row>
    <row r="408" spans="1:7" x14ac:dyDescent="0.3">
      <c r="A408" s="58" t="s">
        <v>1604</v>
      </c>
      <c r="B408" s="58" t="s">
        <v>1605</v>
      </c>
      <c r="C408" s="58" t="s">
        <v>1596</v>
      </c>
      <c r="D408" s="58" t="s">
        <v>1606</v>
      </c>
      <c r="E408" s="58">
        <v>9</v>
      </c>
      <c r="F408" s="58">
        <v>22905</v>
      </c>
      <c r="G408" s="58">
        <v>206145</v>
      </c>
    </row>
    <row r="409" spans="1:7" x14ac:dyDescent="0.3">
      <c r="A409" s="58" t="s">
        <v>1601</v>
      </c>
      <c r="B409" s="58" t="s">
        <v>1599</v>
      </c>
      <c r="C409" s="58" t="s">
        <v>1592</v>
      </c>
      <c r="D409" s="58" t="s">
        <v>1591</v>
      </c>
      <c r="E409" s="58">
        <v>5</v>
      </c>
      <c r="F409" s="58">
        <v>7757</v>
      </c>
      <c r="G409" s="58">
        <v>38785</v>
      </c>
    </row>
    <row r="410" spans="1:7" x14ac:dyDescent="0.3">
      <c r="A410" s="58" t="s">
        <v>1593</v>
      </c>
      <c r="B410" s="58" t="s">
        <v>1589</v>
      </c>
      <c r="C410" s="58" t="s">
        <v>1603</v>
      </c>
      <c r="D410" s="58" t="s">
        <v>1591</v>
      </c>
      <c r="E410" s="58">
        <v>1</v>
      </c>
      <c r="F410" s="58">
        <v>21338</v>
      </c>
      <c r="G410" s="58">
        <v>21338</v>
      </c>
    </row>
    <row r="411" spans="1:7" x14ac:dyDescent="0.3">
      <c r="A411" s="58" t="s">
        <v>1602</v>
      </c>
      <c r="B411" s="58" t="s">
        <v>1597</v>
      </c>
      <c r="C411" s="58" t="s">
        <v>1596</v>
      </c>
      <c r="D411" s="58" t="s">
        <v>1591</v>
      </c>
      <c r="E411" s="58">
        <v>1</v>
      </c>
      <c r="F411" s="58">
        <v>21378</v>
      </c>
      <c r="G411" s="58">
        <v>21378</v>
      </c>
    </row>
    <row r="412" spans="1:7" x14ac:dyDescent="0.3">
      <c r="A412" s="58" t="s">
        <v>1593</v>
      </c>
      <c r="B412" s="58" t="s">
        <v>1589</v>
      </c>
      <c r="C412" s="58" t="s">
        <v>1588</v>
      </c>
      <c r="D412" s="58" t="s">
        <v>1606</v>
      </c>
      <c r="E412" s="58">
        <v>1</v>
      </c>
      <c r="F412" s="58">
        <v>9593</v>
      </c>
      <c r="G412" s="58">
        <v>9593</v>
      </c>
    </row>
    <row r="413" spans="1:7" x14ac:dyDescent="0.3">
      <c r="A413" s="58" t="s">
        <v>1601</v>
      </c>
      <c r="B413" s="58" t="s">
        <v>1605</v>
      </c>
      <c r="C413" s="58" t="s">
        <v>1603</v>
      </c>
      <c r="D413" s="58" t="s">
        <v>1587</v>
      </c>
      <c r="E413" s="58">
        <v>1</v>
      </c>
      <c r="F413" s="58">
        <v>28040</v>
      </c>
      <c r="G413" s="58">
        <v>28040</v>
      </c>
    </row>
    <row r="414" spans="1:7" x14ac:dyDescent="0.3">
      <c r="A414" s="58" t="s">
        <v>1601</v>
      </c>
      <c r="B414" s="58" t="s">
        <v>1599</v>
      </c>
      <c r="C414" s="58" t="s">
        <v>1603</v>
      </c>
      <c r="D414" s="58" t="s">
        <v>1591</v>
      </c>
      <c r="E414" s="58">
        <v>6</v>
      </c>
      <c r="F414" s="58">
        <v>4578</v>
      </c>
      <c r="G414" s="58">
        <v>27468</v>
      </c>
    </row>
    <row r="415" spans="1:7" x14ac:dyDescent="0.3">
      <c r="A415" s="58" t="s">
        <v>1590</v>
      </c>
      <c r="B415" s="58" t="s">
        <v>1605</v>
      </c>
      <c r="C415" s="58" t="s">
        <v>1603</v>
      </c>
      <c r="D415" s="58" t="s">
        <v>1594</v>
      </c>
      <c r="E415" s="58">
        <v>6</v>
      </c>
      <c r="F415" s="58">
        <v>4781</v>
      </c>
      <c r="G415" s="58">
        <v>28686</v>
      </c>
    </row>
    <row r="416" spans="1:7" x14ac:dyDescent="0.3">
      <c r="A416" s="58" t="s">
        <v>1604</v>
      </c>
      <c r="B416" s="58" t="s">
        <v>1605</v>
      </c>
      <c r="C416" s="58" t="s">
        <v>1592</v>
      </c>
      <c r="D416" s="58" t="s">
        <v>1600</v>
      </c>
      <c r="E416" s="58">
        <v>9</v>
      </c>
      <c r="F416" s="58">
        <v>15368</v>
      </c>
      <c r="G416" s="58">
        <v>138312</v>
      </c>
    </row>
    <row r="417" spans="1:7" x14ac:dyDescent="0.3">
      <c r="A417" s="58" t="s">
        <v>1601</v>
      </c>
      <c r="B417" s="58" t="s">
        <v>1589</v>
      </c>
      <c r="C417" s="58" t="s">
        <v>1603</v>
      </c>
      <c r="D417" s="58" t="s">
        <v>1606</v>
      </c>
      <c r="E417" s="58">
        <v>9</v>
      </c>
      <c r="F417" s="58">
        <v>10969</v>
      </c>
      <c r="G417" s="58">
        <v>98721</v>
      </c>
    </row>
    <row r="418" spans="1:7" x14ac:dyDescent="0.3">
      <c r="A418" s="58" t="s">
        <v>1602</v>
      </c>
      <c r="B418" s="58" t="s">
        <v>1597</v>
      </c>
      <c r="C418" s="58" t="s">
        <v>1603</v>
      </c>
      <c r="D418" s="58" t="s">
        <v>1600</v>
      </c>
      <c r="E418" s="58">
        <v>10</v>
      </c>
      <c r="F418" s="58">
        <v>13027</v>
      </c>
      <c r="G418" s="58">
        <v>130270</v>
      </c>
    </row>
    <row r="419" spans="1:7" x14ac:dyDescent="0.3">
      <c r="A419" s="58" t="s">
        <v>1601</v>
      </c>
      <c r="B419" s="58" t="s">
        <v>1599</v>
      </c>
      <c r="C419" s="58" t="s">
        <v>1595</v>
      </c>
      <c r="D419" s="58" t="s">
        <v>1606</v>
      </c>
      <c r="E419" s="58">
        <v>7</v>
      </c>
      <c r="F419" s="58">
        <v>5608</v>
      </c>
      <c r="G419" s="58">
        <v>39256</v>
      </c>
    </row>
    <row r="420" spans="1:7" x14ac:dyDescent="0.3">
      <c r="A420" s="58" t="s">
        <v>1601</v>
      </c>
      <c r="B420" s="58" t="s">
        <v>1599</v>
      </c>
      <c r="C420" s="58" t="s">
        <v>1592</v>
      </c>
      <c r="D420" s="58" t="s">
        <v>1600</v>
      </c>
      <c r="E420" s="58">
        <v>9</v>
      </c>
      <c r="F420" s="58">
        <v>13748</v>
      </c>
      <c r="G420" s="58">
        <v>123732</v>
      </c>
    </row>
    <row r="421" spans="1:7" x14ac:dyDescent="0.3">
      <c r="A421" s="58" t="s">
        <v>1604</v>
      </c>
      <c r="B421" s="58" t="s">
        <v>1597</v>
      </c>
      <c r="C421" s="58" t="s">
        <v>1596</v>
      </c>
      <c r="D421" s="58" t="s">
        <v>1587</v>
      </c>
      <c r="E421" s="58">
        <v>9</v>
      </c>
      <c r="F421" s="58">
        <v>12689</v>
      </c>
      <c r="G421" s="58">
        <v>114201</v>
      </c>
    </row>
    <row r="422" spans="1:7" x14ac:dyDescent="0.3">
      <c r="A422" s="58" t="s">
        <v>1602</v>
      </c>
      <c r="B422" s="58" t="s">
        <v>1589</v>
      </c>
      <c r="C422" s="58" t="s">
        <v>1596</v>
      </c>
      <c r="D422" s="58" t="s">
        <v>1606</v>
      </c>
      <c r="E422" s="58">
        <v>9</v>
      </c>
      <c r="F422" s="58">
        <v>4988</v>
      </c>
      <c r="G422" s="58">
        <v>44892</v>
      </c>
    </row>
    <row r="423" spans="1:7" x14ac:dyDescent="0.3">
      <c r="A423" s="58" t="s">
        <v>1590</v>
      </c>
      <c r="B423" s="58" t="s">
        <v>1605</v>
      </c>
      <c r="C423" s="58" t="s">
        <v>1596</v>
      </c>
      <c r="D423" s="58" t="s">
        <v>1606</v>
      </c>
      <c r="E423" s="58">
        <v>10</v>
      </c>
      <c r="F423" s="58">
        <v>27762</v>
      </c>
      <c r="G423" s="58">
        <v>277620</v>
      </c>
    </row>
    <row r="424" spans="1:7" x14ac:dyDescent="0.3">
      <c r="A424" s="58" t="s">
        <v>1593</v>
      </c>
      <c r="B424" s="58" t="s">
        <v>1589</v>
      </c>
      <c r="C424" s="58" t="s">
        <v>1588</v>
      </c>
      <c r="D424" s="58" t="s">
        <v>1598</v>
      </c>
      <c r="E424" s="58">
        <v>7</v>
      </c>
      <c r="F424" s="58">
        <v>25760</v>
      </c>
      <c r="G424" s="58">
        <v>180320</v>
      </c>
    </row>
    <row r="425" spans="1:7" x14ac:dyDescent="0.3">
      <c r="A425" s="58" t="s">
        <v>1590</v>
      </c>
      <c r="B425" s="58" t="s">
        <v>1589</v>
      </c>
      <c r="C425" s="58" t="s">
        <v>1603</v>
      </c>
      <c r="D425" s="58" t="s">
        <v>1598</v>
      </c>
      <c r="E425" s="58">
        <v>8</v>
      </c>
      <c r="F425" s="58">
        <v>12302</v>
      </c>
      <c r="G425" s="58">
        <v>98416</v>
      </c>
    </row>
    <row r="426" spans="1:7" x14ac:dyDescent="0.3">
      <c r="A426" s="58" t="s">
        <v>1601</v>
      </c>
      <c r="B426" s="58" t="s">
        <v>1599</v>
      </c>
      <c r="C426" s="58" t="s">
        <v>1595</v>
      </c>
      <c r="D426" s="58" t="s">
        <v>1594</v>
      </c>
      <c r="E426" s="58">
        <v>7</v>
      </c>
      <c r="F426" s="58">
        <v>15190</v>
      </c>
      <c r="G426" s="58">
        <v>106330</v>
      </c>
    </row>
    <row r="427" spans="1:7" x14ac:dyDescent="0.3">
      <c r="A427" s="58" t="s">
        <v>1593</v>
      </c>
      <c r="B427" s="58" t="s">
        <v>1589</v>
      </c>
      <c r="C427" s="58" t="s">
        <v>1596</v>
      </c>
      <c r="D427" s="58" t="s">
        <v>1598</v>
      </c>
      <c r="E427" s="58">
        <v>6</v>
      </c>
      <c r="F427" s="58">
        <v>23289</v>
      </c>
      <c r="G427" s="58">
        <v>139734</v>
      </c>
    </row>
    <row r="428" spans="1:7" x14ac:dyDescent="0.3">
      <c r="A428" s="58" t="s">
        <v>1604</v>
      </c>
      <c r="B428" s="58" t="s">
        <v>1599</v>
      </c>
      <c r="C428" s="58" t="s">
        <v>1588</v>
      </c>
      <c r="D428" s="58" t="s">
        <v>1594</v>
      </c>
      <c r="E428" s="58">
        <v>8</v>
      </c>
      <c r="F428" s="58">
        <v>3052</v>
      </c>
      <c r="G428" s="58">
        <v>24416</v>
      </c>
    </row>
    <row r="429" spans="1:7" x14ac:dyDescent="0.3">
      <c r="A429" s="58" t="s">
        <v>1593</v>
      </c>
      <c r="B429" s="58" t="s">
        <v>1599</v>
      </c>
      <c r="C429" s="58" t="s">
        <v>1596</v>
      </c>
      <c r="D429" s="58" t="s">
        <v>1591</v>
      </c>
      <c r="E429" s="58">
        <v>8</v>
      </c>
      <c r="F429" s="58">
        <v>6038</v>
      </c>
      <c r="G429" s="58">
        <v>48304</v>
      </c>
    </row>
    <row r="430" spans="1:7" x14ac:dyDescent="0.3">
      <c r="A430" s="58" t="s">
        <v>1601</v>
      </c>
      <c r="B430" s="58" t="s">
        <v>1597</v>
      </c>
      <c r="C430" s="58" t="s">
        <v>1595</v>
      </c>
      <c r="D430" s="58" t="s">
        <v>1606</v>
      </c>
      <c r="E430" s="58">
        <v>4</v>
      </c>
      <c r="F430" s="58">
        <v>24852</v>
      </c>
      <c r="G430" s="58">
        <v>99408</v>
      </c>
    </row>
    <row r="431" spans="1:7" x14ac:dyDescent="0.3">
      <c r="A431" s="58" t="s">
        <v>1604</v>
      </c>
      <c r="B431" s="58" t="s">
        <v>1597</v>
      </c>
      <c r="C431" s="58" t="s">
        <v>1588</v>
      </c>
      <c r="D431" s="58" t="s">
        <v>1594</v>
      </c>
      <c r="E431" s="58">
        <v>9</v>
      </c>
      <c r="F431" s="58">
        <v>6272</v>
      </c>
      <c r="G431" s="58">
        <v>56448</v>
      </c>
    </row>
    <row r="432" spans="1:7" x14ac:dyDescent="0.3">
      <c r="A432" s="58" t="s">
        <v>1590</v>
      </c>
      <c r="B432" s="58" t="s">
        <v>1597</v>
      </c>
      <c r="C432" s="58" t="s">
        <v>1603</v>
      </c>
      <c r="D432" s="58" t="s">
        <v>1606</v>
      </c>
      <c r="E432" s="58">
        <v>6</v>
      </c>
      <c r="F432" s="58">
        <v>22981</v>
      </c>
      <c r="G432" s="58">
        <v>137886</v>
      </c>
    </row>
    <row r="433" spans="1:7" x14ac:dyDescent="0.3">
      <c r="A433" s="58" t="s">
        <v>1593</v>
      </c>
      <c r="B433" s="58" t="s">
        <v>1605</v>
      </c>
      <c r="C433" s="58" t="s">
        <v>1595</v>
      </c>
      <c r="D433" s="58" t="s">
        <v>1598</v>
      </c>
      <c r="E433" s="58">
        <v>6</v>
      </c>
      <c r="F433" s="58">
        <v>22068</v>
      </c>
      <c r="G433" s="58">
        <v>132408</v>
      </c>
    </row>
    <row r="434" spans="1:7" x14ac:dyDescent="0.3">
      <c r="A434" s="58" t="s">
        <v>1604</v>
      </c>
      <c r="B434" s="58" t="s">
        <v>1605</v>
      </c>
      <c r="C434" s="58" t="s">
        <v>1603</v>
      </c>
      <c r="D434" s="58" t="s">
        <v>1587</v>
      </c>
      <c r="E434" s="58">
        <v>3</v>
      </c>
      <c r="F434" s="58">
        <v>20515</v>
      </c>
      <c r="G434" s="58">
        <v>61545</v>
      </c>
    </row>
    <row r="435" spans="1:7" x14ac:dyDescent="0.3">
      <c r="A435" s="58" t="s">
        <v>1601</v>
      </c>
      <c r="B435" s="58" t="s">
        <v>1599</v>
      </c>
      <c r="C435" s="58" t="s">
        <v>1592</v>
      </c>
      <c r="D435" s="58" t="s">
        <v>1594</v>
      </c>
      <c r="E435" s="58">
        <v>7</v>
      </c>
      <c r="F435" s="58">
        <v>6366</v>
      </c>
      <c r="G435" s="58">
        <v>44562</v>
      </c>
    </row>
    <row r="436" spans="1:7" x14ac:dyDescent="0.3">
      <c r="A436" s="58" t="s">
        <v>1593</v>
      </c>
      <c r="B436" s="58" t="s">
        <v>1599</v>
      </c>
      <c r="C436" s="58" t="s">
        <v>1595</v>
      </c>
      <c r="D436" s="58" t="s">
        <v>1600</v>
      </c>
      <c r="E436" s="58">
        <v>2</v>
      </c>
      <c r="F436" s="58">
        <v>6730</v>
      </c>
      <c r="G436" s="58">
        <v>13460</v>
      </c>
    </row>
    <row r="437" spans="1:7" x14ac:dyDescent="0.3">
      <c r="A437" s="58" t="s">
        <v>1593</v>
      </c>
      <c r="B437" s="58" t="s">
        <v>1599</v>
      </c>
      <c r="C437" s="58" t="s">
        <v>1596</v>
      </c>
      <c r="D437" s="58" t="s">
        <v>1591</v>
      </c>
      <c r="E437" s="58">
        <v>8</v>
      </c>
      <c r="F437" s="58">
        <v>12591</v>
      </c>
      <c r="G437" s="58">
        <v>100728</v>
      </c>
    </row>
    <row r="438" spans="1:7" x14ac:dyDescent="0.3">
      <c r="A438" s="58" t="s">
        <v>1590</v>
      </c>
      <c r="B438" s="58" t="s">
        <v>1589</v>
      </c>
      <c r="C438" s="58" t="s">
        <v>1592</v>
      </c>
      <c r="D438" s="58" t="s">
        <v>1587</v>
      </c>
      <c r="E438" s="58">
        <v>1</v>
      </c>
      <c r="F438" s="58">
        <v>19832</v>
      </c>
      <c r="G438" s="58">
        <v>19832</v>
      </c>
    </row>
    <row r="439" spans="1:7" x14ac:dyDescent="0.3">
      <c r="A439" s="58" t="s">
        <v>1593</v>
      </c>
      <c r="B439" s="58" t="s">
        <v>1605</v>
      </c>
      <c r="C439" s="58" t="s">
        <v>1592</v>
      </c>
      <c r="D439" s="58" t="s">
        <v>1598</v>
      </c>
      <c r="E439" s="58">
        <v>5</v>
      </c>
      <c r="F439" s="58">
        <v>19640</v>
      </c>
      <c r="G439" s="58">
        <v>98200</v>
      </c>
    </row>
    <row r="440" spans="1:7" x14ac:dyDescent="0.3">
      <c r="A440" s="58" t="s">
        <v>1604</v>
      </c>
      <c r="B440" s="58" t="s">
        <v>1605</v>
      </c>
      <c r="C440" s="58" t="s">
        <v>1592</v>
      </c>
      <c r="D440" s="58" t="s">
        <v>1587</v>
      </c>
      <c r="E440" s="58">
        <v>4</v>
      </c>
      <c r="F440" s="58">
        <v>20220</v>
      </c>
      <c r="G440" s="58">
        <v>80880</v>
      </c>
    </row>
    <row r="441" spans="1:7" x14ac:dyDescent="0.3">
      <c r="A441" s="58" t="s">
        <v>1601</v>
      </c>
      <c r="B441" s="58" t="s">
        <v>1599</v>
      </c>
      <c r="C441" s="58" t="s">
        <v>1603</v>
      </c>
      <c r="D441" s="58" t="s">
        <v>1587</v>
      </c>
      <c r="E441" s="58">
        <v>8</v>
      </c>
      <c r="F441" s="58">
        <v>29159</v>
      </c>
      <c r="G441" s="58">
        <v>233272</v>
      </c>
    </row>
    <row r="442" spans="1:7" x14ac:dyDescent="0.3">
      <c r="A442" s="58" t="s">
        <v>1601</v>
      </c>
      <c r="B442" s="58" t="s">
        <v>1597</v>
      </c>
      <c r="C442" s="58" t="s">
        <v>1592</v>
      </c>
      <c r="D442" s="58" t="s">
        <v>1598</v>
      </c>
      <c r="E442" s="58">
        <v>3</v>
      </c>
      <c r="F442" s="58">
        <v>24376</v>
      </c>
      <c r="G442" s="58">
        <v>73128</v>
      </c>
    </row>
    <row r="443" spans="1:7" x14ac:dyDescent="0.3">
      <c r="A443" s="58" t="s">
        <v>1593</v>
      </c>
      <c r="B443" s="58" t="s">
        <v>1605</v>
      </c>
      <c r="C443" s="58" t="s">
        <v>1596</v>
      </c>
      <c r="D443" s="58" t="s">
        <v>1600</v>
      </c>
      <c r="E443" s="58">
        <v>6</v>
      </c>
      <c r="F443" s="58">
        <v>1318</v>
      </c>
      <c r="G443" s="58">
        <v>7908</v>
      </c>
    </row>
    <row r="444" spans="1:7" x14ac:dyDescent="0.3">
      <c r="A444" s="58" t="s">
        <v>1590</v>
      </c>
      <c r="B444" s="58" t="s">
        <v>1605</v>
      </c>
      <c r="C444" s="58" t="s">
        <v>1592</v>
      </c>
      <c r="D444" s="58" t="s">
        <v>1598</v>
      </c>
      <c r="E444" s="58">
        <v>4</v>
      </c>
      <c r="F444" s="58">
        <v>21978</v>
      </c>
      <c r="G444" s="58">
        <v>87912</v>
      </c>
    </row>
    <row r="445" spans="1:7" x14ac:dyDescent="0.3">
      <c r="A445" s="58" t="s">
        <v>1602</v>
      </c>
      <c r="B445" s="58" t="s">
        <v>1589</v>
      </c>
      <c r="C445" s="58" t="s">
        <v>1596</v>
      </c>
      <c r="D445" s="58" t="s">
        <v>1600</v>
      </c>
      <c r="E445" s="58">
        <v>8</v>
      </c>
      <c r="F445" s="58">
        <v>19220</v>
      </c>
      <c r="G445" s="58">
        <v>153760</v>
      </c>
    </row>
    <row r="446" spans="1:7" x14ac:dyDescent="0.3">
      <c r="A446" s="58" t="s">
        <v>1602</v>
      </c>
      <c r="B446" s="58" t="s">
        <v>1605</v>
      </c>
      <c r="C446" s="58" t="s">
        <v>1596</v>
      </c>
      <c r="D446" s="58" t="s">
        <v>1598</v>
      </c>
      <c r="E446" s="58">
        <v>6</v>
      </c>
      <c r="F446" s="58">
        <v>20748</v>
      </c>
      <c r="G446" s="58">
        <v>124488</v>
      </c>
    </row>
    <row r="447" spans="1:7" x14ac:dyDescent="0.3">
      <c r="A447" s="58" t="s">
        <v>1601</v>
      </c>
      <c r="B447" s="58" t="s">
        <v>1605</v>
      </c>
      <c r="C447" s="58" t="s">
        <v>1595</v>
      </c>
      <c r="D447" s="58" t="s">
        <v>1587</v>
      </c>
      <c r="E447" s="58">
        <v>4</v>
      </c>
      <c r="F447" s="58">
        <v>11925</v>
      </c>
      <c r="G447" s="58">
        <v>47700</v>
      </c>
    </row>
    <row r="448" spans="1:7" x14ac:dyDescent="0.3">
      <c r="A448" s="58" t="s">
        <v>1593</v>
      </c>
      <c r="B448" s="58" t="s">
        <v>1597</v>
      </c>
      <c r="C448" s="58" t="s">
        <v>1592</v>
      </c>
      <c r="D448" s="58" t="s">
        <v>1591</v>
      </c>
      <c r="E448" s="58">
        <v>8</v>
      </c>
      <c r="F448" s="58">
        <v>20275</v>
      </c>
      <c r="G448" s="58">
        <v>162200</v>
      </c>
    </row>
    <row r="449" spans="1:7" x14ac:dyDescent="0.3">
      <c r="A449" s="58" t="s">
        <v>1604</v>
      </c>
      <c r="B449" s="58" t="s">
        <v>1589</v>
      </c>
      <c r="C449" s="58" t="s">
        <v>1603</v>
      </c>
      <c r="D449" s="58" t="s">
        <v>1594</v>
      </c>
      <c r="E449" s="58">
        <v>5</v>
      </c>
      <c r="F449" s="58">
        <v>20387</v>
      </c>
      <c r="G449" s="58">
        <v>101935</v>
      </c>
    </row>
    <row r="450" spans="1:7" x14ac:dyDescent="0.3">
      <c r="A450" s="58" t="s">
        <v>1601</v>
      </c>
      <c r="B450" s="58" t="s">
        <v>1605</v>
      </c>
      <c r="C450" s="58" t="s">
        <v>1588</v>
      </c>
      <c r="D450" s="58" t="s">
        <v>1591</v>
      </c>
      <c r="E450" s="58">
        <v>6</v>
      </c>
      <c r="F450" s="58">
        <v>3628</v>
      </c>
      <c r="G450" s="58">
        <v>21768</v>
      </c>
    </row>
    <row r="451" spans="1:7" x14ac:dyDescent="0.3">
      <c r="A451" s="58" t="s">
        <v>1604</v>
      </c>
      <c r="B451" s="58" t="s">
        <v>1605</v>
      </c>
      <c r="C451" s="58" t="s">
        <v>1595</v>
      </c>
      <c r="D451" s="58" t="s">
        <v>1606</v>
      </c>
      <c r="E451" s="58">
        <v>7</v>
      </c>
      <c r="F451" s="58">
        <v>15809</v>
      </c>
      <c r="G451" s="58">
        <v>110663</v>
      </c>
    </row>
    <row r="452" spans="1:7" x14ac:dyDescent="0.3">
      <c r="A452" s="58" t="s">
        <v>1590</v>
      </c>
      <c r="B452" s="58" t="s">
        <v>1599</v>
      </c>
      <c r="C452" s="58" t="s">
        <v>1595</v>
      </c>
      <c r="D452" s="58" t="s">
        <v>1606</v>
      </c>
      <c r="E452" s="58">
        <v>8</v>
      </c>
      <c r="F452" s="58">
        <v>25908</v>
      </c>
      <c r="G452" s="58">
        <v>207264</v>
      </c>
    </row>
    <row r="453" spans="1:7" x14ac:dyDescent="0.3">
      <c r="A453" s="58" t="s">
        <v>1593</v>
      </c>
      <c r="B453" s="58" t="s">
        <v>1589</v>
      </c>
      <c r="C453" s="58" t="s">
        <v>1588</v>
      </c>
      <c r="D453" s="58" t="s">
        <v>1591</v>
      </c>
      <c r="E453" s="58">
        <v>5</v>
      </c>
      <c r="F453" s="58">
        <v>3666</v>
      </c>
      <c r="G453" s="58">
        <v>18330</v>
      </c>
    </row>
    <row r="454" spans="1:7" x14ac:dyDescent="0.3">
      <c r="A454" s="58" t="s">
        <v>1593</v>
      </c>
      <c r="B454" s="58" t="s">
        <v>1589</v>
      </c>
      <c r="C454" s="58" t="s">
        <v>1596</v>
      </c>
      <c r="D454" s="58" t="s">
        <v>1606</v>
      </c>
      <c r="E454" s="58">
        <v>1</v>
      </c>
      <c r="F454" s="58">
        <v>12713</v>
      </c>
      <c r="G454" s="58">
        <v>12713</v>
      </c>
    </row>
    <row r="455" spans="1:7" x14ac:dyDescent="0.3">
      <c r="A455" s="58" t="s">
        <v>1604</v>
      </c>
      <c r="B455" s="58" t="s">
        <v>1589</v>
      </c>
      <c r="C455" s="58" t="s">
        <v>1595</v>
      </c>
      <c r="D455" s="58" t="s">
        <v>1600</v>
      </c>
      <c r="E455" s="58">
        <v>7</v>
      </c>
      <c r="F455" s="58">
        <v>29332</v>
      </c>
      <c r="G455" s="58">
        <v>205324</v>
      </c>
    </row>
    <row r="456" spans="1:7" x14ac:dyDescent="0.3">
      <c r="A456" s="58" t="s">
        <v>1590</v>
      </c>
      <c r="B456" s="58" t="s">
        <v>1589</v>
      </c>
      <c r="C456" s="58" t="s">
        <v>1595</v>
      </c>
      <c r="D456" s="58" t="s">
        <v>1587</v>
      </c>
      <c r="E456" s="58">
        <v>8</v>
      </c>
      <c r="F456" s="58">
        <v>19426</v>
      </c>
      <c r="G456" s="58">
        <v>155408</v>
      </c>
    </row>
    <row r="457" spans="1:7" x14ac:dyDescent="0.3">
      <c r="A457" s="58" t="s">
        <v>1593</v>
      </c>
      <c r="B457" s="58" t="s">
        <v>1599</v>
      </c>
      <c r="C457" s="58" t="s">
        <v>1596</v>
      </c>
      <c r="D457" s="58" t="s">
        <v>1594</v>
      </c>
      <c r="E457" s="58">
        <v>7</v>
      </c>
      <c r="F457" s="58">
        <v>10471</v>
      </c>
      <c r="G457" s="58">
        <v>73297</v>
      </c>
    </row>
    <row r="458" spans="1:7" x14ac:dyDescent="0.3">
      <c r="A458" s="58" t="s">
        <v>1590</v>
      </c>
      <c r="B458" s="58" t="s">
        <v>1599</v>
      </c>
      <c r="C458" s="58" t="s">
        <v>1596</v>
      </c>
      <c r="D458" s="58" t="s">
        <v>1594</v>
      </c>
      <c r="E458" s="58">
        <v>5</v>
      </c>
      <c r="F458" s="58">
        <v>18167</v>
      </c>
      <c r="G458" s="58">
        <v>90835</v>
      </c>
    </row>
    <row r="459" spans="1:7" x14ac:dyDescent="0.3">
      <c r="A459" s="58" t="s">
        <v>1604</v>
      </c>
      <c r="B459" s="58" t="s">
        <v>1599</v>
      </c>
      <c r="C459" s="58" t="s">
        <v>1595</v>
      </c>
      <c r="D459" s="58" t="s">
        <v>1598</v>
      </c>
      <c r="E459" s="58">
        <v>3</v>
      </c>
      <c r="F459" s="58">
        <v>26360</v>
      </c>
      <c r="G459" s="58">
        <v>79080</v>
      </c>
    </row>
    <row r="460" spans="1:7" x14ac:dyDescent="0.3">
      <c r="A460" s="58" t="s">
        <v>1604</v>
      </c>
      <c r="B460" s="58" t="s">
        <v>1599</v>
      </c>
      <c r="C460" s="58" t="s">
        <v>1592</v>
      </c>
      <c r="D460" s="58" t="s">
        <v>1606</v>
      </c>
      <c r="E460" s="58">
        <v>2</v>
      </c>
      <c r="F460" s="58">
        <v>19717</v>
      </c>
      <c r="G460" s="58">
        <v>39434</v>
      </c>
    </row>
    <row r="461" spans="1:7" x14ac:dyDescent="0.3">
      <c r="A461" s="58" t="s">
        <v>1604</v>
      </c>
      <c r="B461" s="58" t="s">
        <v>1599</v>
      </c>
      <c r="C461" s="58" t="s">
        <v>1588</v>
      </c>
      <c r="D461" s="58" t="s">
        <v>1591</v>
      </c>
      <c r="E461" s="58">
        <v>2</v>
      </c>
      <c r="F461" s="58">
        <v>15779</v>
      </c>
      <c r="G461" s="58">
        <v>31558</v>
      </c>
    </row>
    <row r="462" spans="1:7" x14ac:dyDescent="0.3">
      <c r="A462" s="58" t="s">
        <v>1601</v>
      </c>
      <c r="B462" s="58" t="s">
        <v>1599</v>
      </c>
      <c r="C462" s="58" t="s">
        <v>1595</v>
      </c>
      <c r="D462" s="58" t="s">
        <v>1600</v>
      </c>
      <c r="E462" s="58">
        <v>9</v>
      </c>
      <c r="F462" s="58">
        <v>28895</v>
      </c>
      <c r="G462" s="58">
        <v>260055</v>
      </c>
    </row>
    <row r="463" spans="1:7" x14ac:dyDescent="0.3">
      <c r="A463" s="58" t="s">
        <v>1602</v>
      </c>
      <c r="B463" s="58" t="s">
        <v>1599</v>
      </c>
      <c r="C463" s="58" t="s">
        <v>1595</v>
      </c>
      <c r="D463" s="58" t="s">
        <v>1600</v>
      </c>
      <c r="E463" s="58">
        <v>8</v>
      </c>
      <c r="F463" s="58">
        <v>29446</v>
      </c>
      <c r="G463" s="58">
        <v>235568</v>
      </c>
    </row>
    <row r="464" spans="1:7" x14ac:dyDescent="0.3">
      <c r="A464" s="58" t="s">
        <v>1602</v>
      </c>
      <c r="B464" s="58" t="s">
        <v>1605</v>
      </c>
      <c r="C464" s="58" t="s">
        <v>1592</v>
      </c>
      <c r="D464" s="58" t="s">
        <v>1587</v>
      </c>
      <c r="E464" s="58">
        <v>1</v>
      </c>
      <c r="F464" s="58">
        <v>12326</v>
      </c>
      <c r="G464" s="58">
        <v>12326</v>
      </c>
    </row>
    <row r="465" spans="1:7" x14ac:dyDescent="0.3">
      <c r="A465" s="58" t="s">
        <v>1604</v>
      </c>
      <c r="B465" s="58" t="s">
        <v>1597</v>
      </c>
      <c r="C465" s="58" t="s">
        <v>1588</v>
      </c>
      <c r="D465" s="58" t="s">
        <v>1600</v>
      </c>
      <c r="E465" s="58">
        <v>3</v>
      </c>
      <c r="F465" s="58">
        <v>20690</v>
      </c>
      <c r="G465" s="58">
        <v>62070</v>
      </c>
    </row>
    <row r="466" spans="1:7" x14ac:dyDescent="0.3">
      <c r="A466" s="58" t="s">
        <v>1602</v>
      </c>
      <c r="B466" s="58" t="s">
        <v>1605</v>
      </c>
      <c r="C466" s="58" t="s">
        <v>1595</v>
      </c>
      <c r="D466" s="58" t="s">
        <v>1598</v>
      </c>
      <c r="E466" s="58">
        <v>3</v>
      </c>
      <c r="F466" s="58">
        <v>9664</v>
      </c>
      <c r="G466" s="58">
        <v>28992</v>
      </c>
    </row>
    <row r="467" spans="1:7" x14ac:dyDescent="0.3">
      <c r="A467" s="58" t="s">
        <v>1601</v>
      </c>
      <c r="B467" s="58" t="s">
        <v>1589</v>
      </c>
      <c r="C467" s="58" t="s">
        <v>1588</v>
      </c>
      <c r="D467" s="58" t="s">
        <v>1598</v>
      </c>
      <c r="E467" s="58">
        <v>10</v>
      </c>
      <c r="F467" s="58">
        <v>9751</v>
      </c>
      <c r="G467" s="58">
        <v>97510</v>
      </c>
    </row>
    <row r="468" spans="1:7" x14ac:dyDescent="0.3">
      <c r="A468" s="58" t="s">
        <v>1601</v>
      </c>
      <c r="B468" s="58" t="s">
        <v>1605</v>
      </c>
      <c r="C468" s="58" t="s">
        <v>1592</v>
      </c>
      <c r="D468" s="58" t="s">
        <v>1587</v>
      </c>
      <c r="E468" s="58">
        <v>4</v>
      </c>
      <c r="F468" s="58">
        <v>10521</v>
      </c>
      <c r="G468" s="58">
        <v>42084</v>
      </c>
    </row>
    <row r="469" spans="1:7" x14ac:dyDescent="0.3">
      <c r="A469" s="58" t="s">
        <v>1602</v>
      </c>
      <c r="B469" s="58" t="s">
        <v>1605</v>
      </c>
      <c r="C469" s="58" t="s">
        <v>1588</v>
      </c>
      <c r="D469" s="58" t="s">
        <v>1606</v>
      </c>
      <c r="E469" s="58">
        <v>1</v>
      </c>
      <c r="F469" s="58">
        <v>12181</v>
      </c>
      <c r="G469" s="58">
        <v>12181</v>
      </c>
    </row>
    <row r="470" spans="1:7" x14ac:dyDescent="0.3">
      <c r="A470" s="58" t="s">
        <v>1593</v>
      </c>
      <c r="B470" s="58" t="s">
        <v>1605</v>
      </c>
      <c r="C470" s="58" t="s">
        <v>1603</v>
      </c>
      <c r="D470" s="58" t="s">
        <v>1591</v>
      </c>
      <c r="E470" s="58">
        <v>7</v>
      </c>
      <c r="F470" s="58">
        <v>22944</v>
      </c>
      <c r="G470" s="58">
        <v>160608</v>
      </c>
    </row>
    <row r="471" spans="1:7" x14ac:dyDescent="0.3">
      <c r="A471" s="58" t="s">
        <v>1590</v>
      </c>
      <c r="B471" s="58" t="s">
        <v>1597</v>
      </c>
      <c r="C471" s="58" t="s">
        <v>1588</v>
      </c>
      <c r="D471" s="58" t="s">
        <v>1606</v>
      </c>
      <c r="E471" s="58">
        <v>8</v>
      </c>
      <c r="F471" s="58">
        <v>20296</v>
      </c>
      <c r="G471" s="58">
        <v>162368</v>
      </c>
    </row>
    <row r="472" spans="1:7" x14ac:dyDescent="0.3">
      <c r="A472" s="58" t="s">
        <v>1590</v>
      </c>
      <c r="B472" s="58" t="s">
        <v>1589</v>
      </c>
      <c r="C472" s="58" t="s">
        <v>1588</v>
      </c>
      <c r="D472" s="58" t="s">
        <v>1587</v>
      </c>
      <c r="E472" s="58">
        <v>5</v>
      </c>
      <c r="F472" s="58">
        <v>3999</v>
      </c>
      <c r="G472" s="58">
        <v>19995</v>
      </c>
    </row>
    <row r="473" spans="1:7" x14ac:dyDescent="0.3">
      <c r="A473" s="58" t="s">
        <v>1604</v>
      </c>
      <c r="B473" s="58" t="s">
        <v>1597</v>
      </c>
      <c r="C473" s="58" t="s">
        <v>1603</v>
      </c>
      <c r="D473" s="58" t="s">
        <v>1594</v>
      </c>
      <c r="E473" s="58">
        <v>2</v>
      </c>
      <c r="F473" s="58">
        <v>28157</v>
      </c>
      <c r="G473" s="58">
        <v>56314</v>
      </c>
    </row>
    <row r="474" spans="1:7" x14ac:dyDescent="0.3">
      <c r="A474" s="58" t="s">
        <v>1601</v>
      </c>
      <c r="B474" s="58" t="s">
        <v>1605</v>
      </c>
      <c r="C474" s="58" t="s">
        <v>1603</v>
      </c>
      <c r="D474" s="58" t="s">
        <v>1594</v>
      </c>
      <c r="E474" s="58">
        <v>2</v>
      </c>
      <c r="F474" s="58">
        <v>21259</v>
      </c>
      <c r="G474" s="58">
        <v>42518</v>
      </c>
    </row>
    <row r="475" spans="1:7" x14ac:dyDescent="0.3">
      <c r="A475" s="58" t="s">
        <v>1601</v>
      </c>
      <c r="B475" s="58" t="s">
        <v>1589</v>
      </c>
      <c r="C475" s="58" t="s">
        <v>1592</v>
      </c>
      <c r="D475" s="58" t="s">
        <v>1606</v>
      </c>
      <c r="E475" s="58">
        <v>3</v>
      </c>
      <c r="F475" s="58">
        <v>9607</v>
      </c>
      <c r="G475" s="58">
        <v>28821</v>
      </c>
    </row>
    <row r="476" spans="1:7" x14ac:dyDescent="0.3">
      <c r="A476" s="58" t="s">
        <v>1604</v>
      </c>
      <c r="B476" s="58" t="s">
        <v>1589</v>
      </c>
      <c r="C476" s="58" t="s">
        <v>1588</v>
      </c>
      <c r="D476" s="58" t="s">
        <v>1598</v>
      </c>
      <c r="E476" s="58">
        <v>5</v>
      </c>
      <c r="F476" s="58">
        <v>13601</v>
      </c>
      <c r="G476" s="58">
        <v>68005</v>
      </c>
    </row>
    <row r="477" spans="1:7" x14ac:dyDescent="0.3">
      <c r="A477" s="58" t="s">
        <v>1601</v>
      </c>
      <c r="B477" s="58" t="s">
        <v>1605</v>
      </c>
      <c r="C477" s="58" t="s">
        <v>1588</v>
      </c>
      <c r="D477" s="58" t="s">
        <v>1587</v>
      </c>
      <c r="E477" s="58">
        <v>10</v>
      </c>
      <c r="F477" s="58">
        <v>5967</v>
      </c>
      <c r="G477" s="58">
        <v>59670</v>
      </c>
    </row>
    <row r="478" spans="1:7" x14ac:dyDescent="0.3">
      <c r="A478" s="58" t="s">
        <v>1601</v>
      </c>
      <c r="B478" s="58" t="s">
        <v>1597</v>
      </c>
      <c r="C478" s="58" t="s">
        <v>1588</v>
      </c>
      <c r="D478" s="58" t="s">
        <v>1591</v>
      </c>
      <c r="E478" s="58">
        <v>8</v>
      </c>
      <c r="F478" s="58">
        <v>1036</v>
      </c>
      <c r="G478" s="58">
        <v>8288</v>
      </c>
    </row>
    <row r="479" spans="1:7" x14ac:dyDescent="0.3">
      <c r="A479" s="58" t="s">
        <v>1602</v>
      </c>
      <c r="B479" s="58" t="s">
        <v>1599</v>
      </c>
      <c r="C479" s="58" t="s">
        <v>1588</v>
      </c>
      <c r="D479" s="58" t="s">
        <v>1606</v>
      </c>
      <c r="E479" s="58">
        <v>8</v>
      </c>
      <c r="F479" s="58">
        <v>23329</v>
      </c>
      <c r="G479" s="58">
        <v>186632</v>
      </c>
    </row>
    <row r="480" spans="1:7" x14ac:dyDescent="0.3">
      <c r="A480" s="58" t="s">
        <v>1590</v>
      </c>
      <c r="B480" s="58" t="s">
        <v>1599</v>
      </c>
      <c r="C480" s="58" t="s">
        <v>1595</v>
      </c>
      <c r="D480" s="58" t="s">
        <v>1587</v>
      </c>
      <c r="E480" s="58">
        <v>9</v>
      </c>
      <c r="F480" s="58">
        <v>10695</v>
      </c>
      <c r="G480" s="58">
        <v>96255</v>
      </c>
    </row>
    <row r="481" spans="1:7" x14ac:dyDescent="0.3">
      <c r="A481" s="58" t="s">
        <v>1590</v>
      </c>
      <c r="B481" s="58" t="s">
        <v>1597</v>
      </c>
      <c r="C481" s="58" t="s">
        <v>1592</v>
      </c>
      <c r="D481" s="58" t="s">
        <v>1600</v>
      </c>
      <c r="E481" s="58">
        <v>9</v>
      </c>
      <c r="F481" s="58">
        <v>12662</v>
      </c>
      <c r="G481" s="58">
        <v>113958</v>
      </c>
    </row>
    <row r="482" spans="1:7" x14ac:dyDescent="0.3">
      <c r="A482" s="58" t="s">
        <v>1601</v>
      </c>
      <c r="B482" s="58" t="s">
        <v>1597</v>
      </c>
      <c r="C482" s="58" t="s">
        <v>1596</v>
      </c>
      <c r="D482" s="58" t="s">
        <v>1606</v>
      </c>
      <c r="E482" s="58">
        <v>7</v>
      </c>
      <c r="F482" s="58">
        <v>25120</v>
      </c>
      <c r="G482" s="58">
        <v>175840</v>
      </c>
    </row>
    <row r="483" spans="1:7" x14ac:dyDescent="0.3">
      <c r="A483" s="58" t="s">
        <v>1601</v>
      </c>
      <c r="B483" s="58" t="s">
        <v>1599</v>
      </c>
      <c r="C483" s="58" t="s">
        <v>1588</v>
      </c>
      <c r="D483" s="58" t="s">
        <v>1600</v>
      </c>
      <c r="E483" s="58">
        <v>3</v>
      </c>
      <c r="F483" s="58">
        <v>20114</v>
      </c>
      <c r="G483" s="58">
        <v>60342</v>
      </c>
    </row>
    <row r="484" spans="1:7" x14ac:dyDescent="0.3">
      <c r="A484" s="58" t="s">
        <v>1601</v>
      </c>
      <c r="B484" s="58" t="s">
        <v>1589</v>
      </c>
      <c r="C484" s="58" t="s">
        <v>1596</v>
      </c>
      <c r="D484" s="58" t="s">
        <v>1587</v>
      </c>
      <c r="E484" s="58">
        <v>3</v>
      </c>
      <c r="F484" s="58">
        <v>23943</v>
      </c>
      <c r="G484" s="58">
        <v>71829</v>
      </c>
    </row>
    <row r="485" spans="1:7" x14ac:dyDescent="0.3">
      <c r="A485" s="58" t="s">
        <v>1590</v>
      </c>
      <c r="B485" s="58" t="s">
        <v>1597</v>
      </c>
      <c r="C485" s="58" t="s">
        <v>1595</v>
      </c>
      <c r="D485" s="58" t="s">
        <v>1598</v>
      </c>
      <c r="E485" s="58">
        <v>3</v>
      </c>
      <c r="F485" s="58">
        <v>6822</v>
      </c>
      <c r="G485" s="58">
        <v>20466</v>
      </c>
    </row>
    <row r="486" spans="1:7" x14ac:dyDescent="0.3">
      <c r="A486" s="58" t="s">
        <v>1602</v>
      </c>
      <c r="B486" s="58" t="s">
        <v>1597</v>
      </c>
      <c r="C486" s="58" t="s">
        <v>1596</v>
      </c>
      <c r="D486" s="58" t="s">
        <v>1591</v>
      </c>
      <c r="E486" s="58">
        <v>9</v>
      </c>
      <c r="F486" s="58">
        <v>14784</v>
      </c>
      <c r="G486" s="58">
        <v>133056</v>
      </c>
    </row>
    <row r="487" spans="1:7" x14ac:dyDescent="0.3">
      <c r="A487" s="58" t="s">
        <v>1601</v>
      </c>
      <c r="B487" s="58" t="s">
        <v>1599</v>
      </c>
      <c r="C487" s="58" t="s">
        <v>1603</v>
      </c>
      <c r="D487" s="58" t="s">
        <v>1598</v>
      </c>
      <c r="E487" s="58">
        <v>4</v>
      </c>
      <c r="F487" s="58">
        <v>21096</v>
      </c>
      <c r="G487" s="58">
        <v>84384</v>
      </c>
    </row>
    <row r="488" spans="1:7" x14ac:dyDescent="0.3">
      <c r="A488" s="58" t="s">
        <v>1590</v>
      </c>
      <c r="B488" s="58" t="s">
        <v>1605</v>
      </c>
      <c r="C488" s="58" t="s">
        <v>1588</v>
      </c>
      <c r="D488" s="58" t="s">
        <v>1598</v>
      </c>
      <c r="E488" s="58">
        <v>6</v>
      </c>
      <c r="F488" s="58">
        <v>19948</v>
      </c>
      <c r="G488" s="58">
        <v>119688</v>
      </c>
    </row>
    <row r="489" spans="1:7" x14ac:dyDescent="0.3">
      <c r="A489" s="58" t="s">
        <v>1604</v>
      </c>
      <c r="B489" s="58" t="s">
        <v>1597</v>
      </c>
      <c r="C489" s="58" t="s">
        <v>1588</v>
      </c>
      <c r="D489" s="58" t="s">
        <v>1600</v>
      </c>
      <c r="E489" s="58">
        <v>4</v>
      </c>
      <c r="F489" s="58">
        <v>29030</v>
      </c>
      <c r="G489" s="58">
        <v>116120</v>
      </c>
    </row>
    <row r="490" spans="1:7" x14ac:dyDescent="0.3">
      <c r="A490" s="58" t="s">
        <v>1590</v>
      </c>
      <c r="B490" s="58" t="s">
        <v>1597</v>
      </c>
      <c r="C490" s="58" t="s">
        <v>1596</v>
      </c>
      <c r="D490" s="58" t="s">
        <v>1598</v>
      </c>
      <c r="E490" s="58">
        <v>10</v>
      </c>
      <c r="F490" s="58">
        <v>23979</v>
      </c>
      <c r="G490" s="58">
        <v>239790</v>
      </c>
    </row>
    <row r="491" spans="1:7" x14ac:dyDescent="0.3">
      <c r="A491" s="58" t="s">
        <v>1590</v>
      </c>
      <c r="B491" s="58" t="s">
        <v>1605</v>
      </c>
      <c r="C491" s="58" t="s">
        <v>1588</v>
      </c>
      <c r="D491" s="58" t="s">
        <v>1600</v>
      </c>
      <c r="E491" s="58">
        <v>4</v>
      </c>
      <c r="F491" s="58">
        <v>5788</v>
      </c>
      <c r="G491" s="58">
        <v>23152</v>
      </c>
    </row>
    <row r="492" spans="1:7" x14ac:dyDescent="0.3">
      <c r="A492" s="58" t="s">
        <v>1590</v>
      </c>
      <c r="B492" s="58" t="s">
        <v>1597</v>
      </c>
      <c r="C492" s="58" t="s">
        <v>1603</v>
      </c>
      <c r="D492" s="58" t="s">
        <v>1591</v>
      </c>
      <c r="E492" s="58">
        <v>8</v>
      </c>
      <c r="F492" s="58">
        <v>23034</v>
      </c>
      <c r="G492" s="58">
        <v>184272</v>
      </c>
    </row>
    <row r="493" spans="1:7" x14ac:dyDescent="0.3">
      <c r="A493" s="58" t="s">
        <v>1601</v>
      </c>
      <c r="B493" s="58" t="s">
        <v>1605</v>
      </c>
      <c r="C493" s="58" t="s">
        <v>1588</v>
      </c>
      <c r="D493" s="58" t="s">
        <v>1600</v>
      </c>
      <c r="E493" s="58">
        <v>8</v>
      </c>
      <c r="F493" s="58">
        <v>13980</v>
      </c>
      <c r="G493" s="58">
        <v>111840</v>
      </c>
    </row>
    <row r="494" spans="1:7" x14ac:dyDescent="0.3">
      <c r="A494" s="58" t="s">
        <v>1590</v>
      </c>
      <c r="B494" s="58" t="s">
        <v>1597</v>
      </c>
      <c r="C494" s="58" t="s">
        <v>1595</v>
      </c>
      <c r="D494" s="58" t="s">
        <v>1600</v>
      </c>
      <c r="E494" s="58">
        <v>7</v>
      </c>
      <c r="F494" s="58">
        <v>11649</v>
      </c>
      <c r="G494" s="58">
        <v>81543</v>
      </c>
    </row>
    <row r="495" spans="1:7" x14ac:dyDescent="0.3">
      <c r="A495" s="58" t="s">
        <v>1602</v>
      </c>
      <c r="B495" s="58" t="s">
        <v>1599</v>
      </c>
      <c r="C495" s="58" t="s">
        <v>1603</v>
      </c>
      <c r="D495" s="58" t="s">
        <v>1594</v>
      </c>
      <c r="E495" s="58">
        <v>9</v>
      </c>
      <c r="F495" s="58">
        <v>4362</v>
      </c>
      <c r="G495" s="58">
        <v>39258</v>
      </c>
    </row>
    <row r="496" spans="1:7" x14ac:dyDescent="0.3">
      <c r="A496" s="58" t="s">
        <v>1604</v>
      </c>
      <c r="B496" s="58" t="s">
        <v>1599</v>
      </c>
      <c r="C496" s="58" t="s">
        <v>1588</v>
      </c>
      <c r="D496" s="58" t="s">
        <v>1606</v>
      </c>
      <c r="E496" s="58">
        <v>6</v>
      </c>
      <c r="F496" s="58">
        <v>9176</v>
      </c>
      <c r="G496" s="58">
        <v>55056</v>
      </c>
    </row>
    <row r="497" spans="1:7" x14ac:dyDescent="0.3">
      <c r="A497" s="58" t="s">
        <v>1590</v>
      </c>
      <c r="B497" s="58" t="s">
        <v>1589</v>
      </c>
      <c r="C497" s="58" t="s">
        <v>1595</v>
      </c>
      <c r="D497" s="58" t="s">
        <v>1591</v>
      </c>
      <c r="E497" s="58">
        <v>1</v>
      </c>
      <c r="F497" s="58">
        <v>17164</v>
      </c>
      <c r="G497" s="58">
        <v>17164</v>
      </c>
    </row>
    <row r="498" spans="1:7" x14ac:dyDescent="0.3">
      <c r="A498" s="58" t="s">
        <v>1604</v>
      </c>
      <c r="B498" s="58" t="s">
        <v>1605</v>
      </c>
      <c r="C498" s="58" t="s">
        <v>1592</v>
      </c>
      <c r="D498" s="58" t="s">
        <v>1598</v>
      </c>
      <c r="E498" s="58">
        <v>9</v>
      </c>
      <c r="F498" s="58">
        <v>25712</v>
      </c>
      <c r="G498" s="58">
        <v>231408</v>
      </c>
    </row>
    <row r="499" spans="1:7" x14ac:dyDescent="0.3">
      <c r="A499" s="58" t="s">
        <v>1602</v>
      </c>
      <c r="B499" s="58" t="s">
        <v>1589</v>
      </c>
      <c r="C499" s="58" t="s">
        <v>1588</v>
      </c>
      <c r="D499" s="58" t="s">
        <v>1606</v>
      </c>
      <c r="E499" s="58">
        <v>1</v>
      </c>
      <c r="F499" s="58">
        <v>18308</v>
      </c>
      <c r="G499" s="58">
        <v>18308</v>
      </c>
    </row>
    <row r="500" spans="1:7" x14ac:dyDescent="0.3">
      <c r="A500" s="58" t="s">
        <v>1601</v>
      </c>
      <c r="B500" s="58" t="s">
        <v>1597</v>
      </c>
      <c r="C500" s="58" t="s">
        <v>1588</v>
      </c>
      <c r="D500" s="58" t="s">
        <v>1591</v>
      </c>
      <c r="E500" s="58">
        <v>9</v>
      </c>
      <c r="F500" s="58">
        <v>8388</v>
      </c>
      <c r="G500" s="58">
        <v>75492</v>
      </c>
    </row>
    <row r="501" spans="1:7" x14ac:dyDescent="0.3">
      <c r="A501" s="58" t="s">
        <v>1590</v>
      </c>
      <c r="B501" s="58" t="s">
        <v>1589</v>
      </c>
      <c r="C501" s="58" t="s">
        <v>1596</v>
      </c>
      <c r="D501" s="58" t="s">
        <v>1598</v>
      </c>
      <c r="E501" s="58">
        <v>1</v>
      </c>
      <c r="F501" s="58">
        <v>18302</v>
      </c>
      <c r="G501" s="58">
        <v>18302</v>
      </c>
    </row>
    <row r="502" spans="1:7" x14ac:dyDescent="0.3">
      <c r="A502" s="58" t="s">
        <v>1604</v>
      </c>
      <c r="B502" s="58" t="s">
        <v>1589</v>
      </c>
      <c r="C502" s="58" t="s">
        <v>1596</v>
      </c>
      <c r="D502" s="58" t="s">
        <v>1600</v>
      </c>
      <c r="E502" s="58">
        <v>7</v>
      </c>
      <c r="F502" s="58">
        <v>22347</v>
      </c>
      <c r="G502" s="58">
        <v>156429</v>
      </c>
    </row>
    <row r="503" spans="1:7" x14ac:dyDescent="0.3">
      <c r="A503" s="58" t="s">
        <v>1593</v>
      </c>
      <c r="B503" s="58" t="s">
        <v>1599</v>
      </c>
      <c r="C503" s="58" t="s">
        <v>1595</v>
      </c>
      <c r="D503" s="58" t="s">
        <v>1606</v>
      </c>
      <c r="E503" s="58">
        <v>6</v>
      </c>
      <c r="F503" s="58">
        <v>26994</v>
      </c>
      <c r="G503" s="58">
        <v>161964</v>
      </c>
    </row>
    <row r="504" spans="1:7" x14ac:dyDescent="0.3">
      <c r="A504" s="58" t="s">
        <v>1604</v>
      </c>
      <c r="B504" s="58" t="s">
        <v>1597</v>
      </c>
      <c r="C504" s="58" t="s">
        <v>1588</v>
      </c>
      <c r="D504" s="58" t="s">
        <v>1591</v>
      </c>
      <c r="E504" s="58">
        <v>4</v>
      </c>
      <c r="F504" s="58">
        <v>15312</v>
      </c>
      <c r="G504" s="58">
        <v>61248</v>
      </c>
    </row>
    <row r="505" spans="1:7" x14ac:dyDescent="0.3">
      <c r="A505" s="58" t="s">
        <v>1590</v>
      </c>
      <c r="B505" s="58" t="s">
        <v>1605</v>
      </c>
      <c r="C505" s="58" t="s">
        <v>1595</v>
      </c>
      <c r="D505" s="58" t="s">
        <v>1591</v>
      </c>
      <c r="E505" s="58">
        <v>9</v>
      </c>
      <c r="F505" s="58">
        <v>16601</v>
      </c>
      <c r="G505" s="58">
        <v>149409</v>
      </c>
    </row>
    <row r="506" spans="1:7" x14ac:dyDescent="0.3">
      <c r="A506" s="58" t="s">
        <v>1590</v>
      </c>
      <c r="B506" s="58" t="s">
        <v>1589</v>
      </c>
      <c r="C506" s="58" t="s">
        <v>1596</v>
      </c>
      <c r="D506" s="58" t="s">
        <v>1594</v>
      </c>
      <c r="E506" s="58">
        <v>8</v>
      </c>
      <c r="F506" s="58">
        <v>16870</v>
      </c>
      <c r="G506" s="58">
        <v>134960</v>
      </c>
    </row>
    <row r="507" spans="1:7" x14ac:dyDescent="0.3">
      <c r="A507" s="58" t="s">
        <v>1604</v>
      </c>
      <c r="B507" s="58" t="s">
        <v>1589</v>
      </c>
      <c r="C507" s="58" t="s">
        <v>1603</v>
      </c>
      <c r="D507" s="58" t="s">
        <v>1587</v>
      </c>
      <c r="E507" s="58">
        <v>4</v>
      </c>
      <c r="F507" s="58">
        <v>17044</v>
      </c>
      <c r="G507" s="58">
        <v>68176</v>
      </c>
    </row>
    <row r="508" spans="1:7" x14ac:dyDescent="0.3">
      <c r="A508" s="58" t="s">
        <v>1601</v>
      </c>
      <c r="B508" s="58" t="s">
        <v>1589</v>
      </c>
      <c r="C508" s="58" t="s">
        <v>1592</v>
      </c>
      <c r="D508" s="58" t="s">
        <v>1606</v>
      </c>
      <c r="E508" s="58">
        <v>3</v>
      </c>
      <c r="F508" s="58">
        <v>29536</v>
      </c>
      <c r="G508" s="58">
        <v>88608</v>
      </c>
    </row>
    <row r="509" spans="1:7" x14ac:dyDescent="0.3">
      <c r="A509" s="58" t="s">
        <v>1590</v>
      </c>
      <c r="B509" s="58" t="s">
        <v>1605</v>
      </c>
      <c r="C509" s="58" t="s">
        <v>1603</v>
      </c>
      <c r="D509" s="58" t="s">
        <v>1587</v>
      </c>
      <c r="E509" s="58">
        <v>10</v>
      </c>
      <c r="F509" s="58">
        <v>21129</v>
      </c>
      <c r="G509" s="58">
        <v>211290</v>
      </c>
    </row>
    <row r="510" spans="1:7" x14ac:dyDescent="0.3">
      <c r="A510" s="58" t="s">
        <v>1604</v>
      </c>
      <c r="B510" s="58" t="s">
        <v>1597</v>
      </c>
      <c r="C510" s="58" t="s">
        <v>1603</v>
      </c>
      <c r="D510" s="58" t="s">
        <v>1600</v>
      </c>
      <c r="E510" s="58">
        <v>1</v>
      </c>
      <c r="F510" s="58">
        <v>29574</v>
      </c>
      <c r="G510" s="58">
        <v>29574</v>
      </c>
    </row>
    <row r="511" spans="1:7" x14ac:dyDescent="0.3">
      <c r="A511" s="58" t="s">
        <v>1593</v>
      </c>
      <c r="B511" s="58" t="s">
        <v>1597</v>
      </c>
      <c r="C511" s="58" t="s">
        <v>1588</v>
      </c>
      <c r="D511" s="58" t="s">
        <v>1591</v>
      </c>
      <c r="E511" s="58">
        <v>2</v>
      </c>
      <c r="F511" s="58">
        <v>14481</v>
      </c>
      <c r="G511" s="58">
        <v>28962</v>
      </c>
    </row>
    <row r="512" spans="1:7" x14ac:dyDescent="0.3">
      <c r="A512" s="58" t="s">
        <v>1593</v>
      </c>
      <c r="B512" s="58" t="s">
        <v>1599</v>
      </c>
      <c r="C512" s="58" t="s">
        <v>1595</v>
      </c>
      <c r="D512" s="58" t="s">
        <v>1587</v>
      </c>
      <c r="E512" s="58">
        <v>4</v>
      </c>
      <c r="F512" s="58">
        <v>6856</v>
      </c>
      <c r="G512" s="58">
        <v>27424</v>
      </c>
    </row>
    <row r="513" spans="1:7" x14ac:dyDescent="0.3">
      <c r="A513" s="58" t="s">
        <v>1593</v>
      </c>
      <c r="B513" s="58" t="s">
        <v>1597</v>
      </c>
      <c r="C513" s="58" t="s">
        <v>1592</v>
      </c>
      <c r="D513" s="58" t="s">
        <v>1587</v>
      </c>
      <c r="E513" s="58">
        <v>2</v>
      </c>
      <c r="F513" s="58">
        <v>5180</v>
      </c>
      <c r="G513" s="58">
        <v>10360</v>
      </c>
    </row>
    <row r="514" spans="1:7" x14ac:dyDescent="0.3">
      <c r="A514" s="58" t="s">
        <v>1604</v>
      </c>
      <c r="B514" s="58" t="s">
        <v>1597</v>
      </c>
      <c r="C514" s="58" t="s">
        <v>1592</v>
      </c>
      <c r="D514" s="58" t="s">
        <v>1600</v>
      </c>
      <c r="E514" s="58">
        <v>5</v>
      </c>
      <c r="F514" s="58">
        <v>15704</v>
      </c>
      <c r="G514" s="58">
        <v>78520</v>
      </c>
    </row>
    <row r="515" spans="1:7" x14ac:dyDescent="0.3">
      <c r="A515" s="58" t="s">
        <v>1602</v>
      </c>
      <c r="B515" s="58" t="s">
        <v>1605</v>
      </c>
      <c r="C515" s="58" t="s">
        <v>1595</v>
      </c>
      <c r="D515" s="58" t="s">
        <v>1591</v>
      </c>
      <c r="E515" s="58">
        <v>6</v>
      </c>
      <c r="F515" s="58">
        <v>10093</v>
      </c>
      <c r="G515" s="58">
        <v>60558</v>
      </c>
    </row>
    <row r="516" spans="1:7" x14ac:dyDescent="0.3">
      <c r="A516" s="58" t="s">
        <v>1601</v>
      </c>
      <c r="B516" s="58" t="s">
        <v>1589</v>
      </c>
      <c r="C516" s="58" t="s">
        <v>1592</v>
      </c>
      <c r="D516" s="58" t="s">
        <v>1587</v>
      </c>
      <c r="E516" s="58">
        <v>7</v>
      </c>
      <c r="F516" s="58">
        <v>8721</v>
      </c>
      <c r="G516" s="58">
        <v>61047</v>
      </c>
    </row>
    <row r="517" spans="1:7" x14ac:dyDescent="0.3">
      <c r="A517" s="58" t="s">
        <v>1593</v>
      </c>
      <c r="B517" s="58" t="s">
        <v>1599</v>
      </c>
      <c r="C517" s="58" t="s">
        <v>1603</v>
      </c>
      <c r="D517" s="58" t="s">
        <v>1606</v>
      </c>
      <c r="E517" s="58">
        <v>9</v>
      </c>
      <c r="F517" s="58">
        <v>8733</v>
      </c>
      <c r="G517" s="58">
        <v>78597</v>
      </c>
    </row>
    <row r="518" spans="1:7" x14ac:dyDescent="0.3">
      <c r="A518" s="58" t="s">
        <v>1593</v>
      </c>
      <c r="B518" s="58" t="s">
        <v>1605</v>
      </c>
      <c r="C518" s="58" t="s">
        <v>1588</v>
      </c>
      <c r="D518" s="58" t="s">
        <v>1587</v>
      </c>
      <c r="E518" s="58">
        <v>1</v>
      </c>
      <c r="F518" s="58">
        <v>5303</v>
      </c>
      <c r="G518" s="58">
        <v>5303</v>
      </c>
    </row>
    <row r="519" spans="1:7" x14ac:dyDescent="0.3">
      <c r="A519" s="58" t="s">
        <v>1593</v>
      </c>
      <c r="B519" s="58" t="s">
        <v>1605</v>
      </c>
      <c r="C519" s="58" t="s">
        <v>1603</v>
      </c>
      <c r="D519" s="58" t="s">
        <v>1606</v>
      </c>
      <c r="E519" s="58">
        <v>9</v>
      </c>
      <c r="F519" s="58">
        <v>10212</v>
      </c>
      <c r="G519" s="58">
        <v>91908</v>
      </c>
    </row>
    <row r="520" spans="1:7" x14ac:dyDescent="0.3">
      <c r="A520" s="58" t="s">
        <v>1604</v>
      </c>
      <c r="B520" s="58" t="s">
        <v>1599</v>
      </c>
      <c r="C520" s="58" t="s">
        <v>1592</v>
      </c>
      <c r="D520" s="58" t="s">
        <v>1591</v>
      </c>
      <c r="E520" s="58">
        <v>4</v>
      </c>
      <c r="F520" s="58">
        <v>28787</v>
      </c>
      <c r="G520" s="58">
        <v>115148</v>
      </c>
    </row>
    <row r="521" spans="1:7" x14ac:dyDescent="0.3">
      <c r="A521" s="58" t="s">
        <v>1593</v>
      </c>
      <c r="B521" s="58" t="s">
        <v>1597</v>
      </c>
      <c r="C521" s="58" t="s">
        <v>1596</v>
      </c>
      <c r="D521" s="58" t="s">
        <v>1598</v>
      </c>
      <c r="E521" s="58">
        <v>2</v>
      </c>
      <c r="F521" s="58">
        <v>11505</v>
      </c>
      <c r="G521" s="58">
        <v>23010</v>
      </c>
    </row>
    <row r="522" spans="1:7" x14ac:dyDescent="0.3">
      <c r="A522" s="58" t="s">
        <v>1590</v>
      </c>
      <c r="B522" s="58" t="s">
        <v>1589</v>
      </c>
      <c r="C522" s="58" t="s">
        <v>1596</v>
      </c>
      <c r="D522" s="58" t="s">
        <v>1598</v>
      </c>
      <c r="E522" s="58">
        <v>10</v>
      </c>
      <c r="F522" s="58">
        <v>27690</v>
      </c>
      <c r="G522" s="58">
        <v>276900</v>
      </c>
    </row>
    <row r="523" spans="1:7" x14ac:dyDescent="0.3">
      <c r="A523" s="58" t="s">
        <v>1590</v>
      </c>
      <c r="B523" s="58" t="s">
        <v>1599</v>
      </c>
      <c r="C523" s="58" t="s">
        <v>1592</v>
      </c>
      <c r="D523" s="58" t="s">
        <v>1606</v>
      </c>
      <c r="E523" s="58">
        <v>8</v>
      </c>
      <c r="F523" s="58">
        <v>3507</v>
      </c>
      <c r="G523" s="58">
        <v>28056</v>
      </c>
    </row>
    <row r="524" spans="1:7" x14ac:dyDescent="0.3">
      <c r="A524" s="58" t="s">
        <v>1604</v>
      </c>
      <c r="B524" s="58" t="s">
        <v>1597</v>
      </c>
      <c r="C524" s="58" t="s">
        <v>1592</v>
      </c>
      <c r="D524" s="58" t="s">
        <v>1594</v>
      </c>
      <c r="E524" s="58">
        <v>7</v>
      </c>
      <c r="F524" s="58">
        <v>5029</v>
      </c>
      <c r="G524" s="58">
        <v>35203</v>
      </c>
    </row>
    <row r="525" spans="1:7" x14ac:dyDescent="0.3">
      <c r="A525" s="58" t="s">
        <v>1602</v>
      </c>
      <c r="B525" s="58" t="s">
        <v>1589</v>
      </c>
      <c r="C525" s="58" t="s">
        <v>1588</v>
      </c>
      <c r="D525" s="58" t="s">
        <v>1600</v>
      </c>
      <c r="E525" s="58">
        <v>4</v>
      </c>
      <c r="F525" s="58">
        <v>3081</v>
      </c>
      <c r="G525" s="58">
        <v>12324</v>
      </c>
    </row>
    <row r="526" spans="1:7" x14ac:dyDescent="0.3">
      <c r="A526" s="58" t="s">
        <v>1593</v>
      </c>
      <c r="B526" s="58" t="s">
        <v>1597</v>
      </c>
      <c r="C526" s="58" t="s">
        <v>1596</v>
      </c>
      <c r="D526" s="58" t="s">
        <v>1591</v>
      </c>
      <c r="E526" s="58">
        <v>9</v>
      </c>
      <c r="F526" s="58">
        <v>3479</v>
      </c>
      <c r="G526" s="58">
        <v>31311</v>
      </c>
    </row>
    <row r="527" spans="1:7" x14ac:dyDescent="0.3">
      <c r="A527" s="58" t="s">
        <v>1604</v>
      </c>
      <c r="B527" s="58" t="s">
        <v>1605</v>
      </c>
      <c r="C527" s="58" t="s">
        <v>1603</v>
      </c>
      <c r="D527" s="58" t="s">
        <v>1587</v>
      </c>
      <c r="E527" s="58">
        <v>10</v>
      </c>
      <c r="F527" s="58">
        <v>1359</v>
      </c>
      <c r="G527" s="58">
        <v>13590</v>
      </c>
    </row>
    <row r="528" spans="1:7" x14ac:dyDescent="0.3">
      <c r="A528" s="58" t="s">
        <v>1601</v>
      </c>
      <c r="B528" s="58" t="s">
        <v>1599</v>
      </c>
      <c r="C528" s="58" t="s">
        <v>1596</v>
      </c>
      <c r="D528" s="58" t="s">
        <v>1591</v>
      </c>
      <c r="E528" s="58">
        <v>6</v>
      </c>
      <c r="F528" s="58">
        <v>17080</v>
      </c>
      <c r="G528" s="58">
        <v>102480</v>
      </c>
    </row>
    <row r="529" spans="1:7" x14ac:dyDescent="0.3">
      <c r="A529" s="58" t="s">
        <v>1604</v>
      </c>
      <c r="B529" s="58" t="s">
        <v>1605</v>
      </c>
      <c r="C529" s="58" t="s">
        <v>1592</v>
      </c>
      <c r="D529" s="58" t="s">
        <v>1591</v>
      </c>
      <c r="E529" s="58">
        <v>9</v>
      </c>
      <c r="F529" s="58">
        <v>20095</v>
      </c>
      <c r="G529" s="58">
        <v>180855</v>
      </c>
    </row>
    <row r="530" spans="1:7" x14ac:dyDescent="0.3">
      <c r="A530" s="58" t="s">
        <v>1593</v>
      </c>
      <c r="B530" s="58" t="s">
        <v>1589</v>
      </c>
      <c r="C530" s="58" t="s">
        <v>1588</v>
      </c>
      <c r="D530" s="58" t="s">
        <v>1594</v>
      </c>
      <c r="E530" s="58">
        <v>3</v>
      </c>
      <c r="F530" s="58">
        <v>20521</v>
      </c>
      <c r="G530" s="58">
        <v>61563</v>
      </c>
    </row>
    <row r="531" spans="1:7" x14ac:dyDescent="0.3">
      <c r="A531" s="58" t="s">
        <v>1604</v>
      </c>
      <c r="B531" s="58" t="s">
        <v>1597</v>
      </c>
      <c r="C531" s="58" t="s">
        <v>1588</v>
      </c>
      <c r="D531" s="58" t="s">
        <v>1587</v>
      </c>
      <c r="E531" s="58">
        <v>9</v>
      </c>
      <c r="F531" s="58">
        <v>18200</v>
      </c>
      <c r="G531" s="58">
        <v>163800</v>
      </c>
    </row>
    <row r="532" spans="1:7" x14ac:dyDescent="0.3">
      <c r="A532" s="58" t="s">
        <v>1601</v>
      </c>
      <c r="B532" s="58" t="s">
        <v>1589</v>
      </c>
      <c r="C532" s="58" t="s">
        <v>1595</v>
      </c>
      <c r="D532" s="58" t="s">
        <v>1600</v>
      </c>
      <c r="E532" s="58">
        <v>5</v>
      </c>
      <c r="F532" s="58">
        <v>12016</v>
      </c>
      <c r="G532" s="58">
        <v>60080</v>
      </c>
    </row>
    <row r="533" spans="1:7" x14ac:dyDescent="0.3">
      <c r="A533" s="58" t="s">
        <v>1602</v>
      </c>
      <c r="B533" s="58" t="s">
        <v>1605</v>
      </c>
      <c r="C533" s="58" t="s">
        <v>1596</v>
      </c>
      <c r="D533" s="58" t="s">
        <v>1606</v>
      </c>
      <c r="E533" s="58">
        <v>2</v>
      </c>
      <c r="F533" s="58">
        <v>16551</v>
      </c>
      <c r="G533" s="58">
        <v>33102</v>
      </c>
    </row>
    <row r="534" spans="1:7" x14ac:dyDescent="0.3">
      <c r="A534" s="58" t="s">
        <v>1604</v>
      </c>
      <c r="B534" s="58" t="s">
        <v>1599</v>
      </c>
      <c r="C534" s="58" t="s">
        <v>1596</v>
      </c>
      <c r="D534" s="58" t="s">
        <v>1598</v>
      </c>
      <c r="E534" s="58">
        <v>6</v>
      </c>
      <c r="F534" s="58">
        <v>23644</v>
      </c>
      <c r="G534" s="58">
        <v>141864</v>
      </c>
    </row>
    <row r="535" spans="1:7" x14ac:dyDescent="0.3">
      <c r="A535" s="58" t="s">
        <v>1601</v>
      </c>
      <c r="B535" s="58" t="s">
        <v>1605</v>
      </c>
      <c r="C535" s="58" t="s">
        <v>1592</v>
      </c>
      <c r="D535" s="58" t="s">
        <v>1600</v>
      </c>
      <c r="E535" s="58">
        <v>1</v>
      </c>
      <c r="F535" s="58">
        <v>20307</v>
      </c>
      <c r="G535" s="58">
        <v>20307</v>
      </c>
    </row>
    <row r="536" spans="1:7" x14ac:dyDescent="0.3">
      <c r="A536" s="58" t="s">
        <v>1590</v>
      </c>
      <c r="B536" s="58" t="s">
        <v>1589</v>
      </c>
      <c r="C536" s="58" t="s">
        <v>1588</v>
      </c>
      <c r="D536" s="58" t="s">
        <v>1594</v>
      </c>
      <c r="E536" s="58">
        <v>5</v>
      </c>
      <c r="F536" s="58">
        <v>4205</v>
      </c>
      <c r="G536" s="58">
        <v>21025</v>
      </c>
    </row>
    <row r="537" spans="1:7" x14ac:dyDescent="0.3">
      <c r="A537" s="58" t="s">
        <v>1601</v>
      </c>
      <c r="B537" s="58" t="s">
        <v>1589</v>
      </c>
      <c r="C537" s="58" t="s">
        <v>1596</v>
      </c>
      <c r="D537" s="58" t="s">
        <v>1594</v>
      </c>
      <c r="E537" s="58">
        <v>10</v>
      </c>
      <c r="F537" s="58">
        <v>1904</v>
      </c>
      <c r="G537" s="58">
        <v>19040</v>
      </c>
    </row>
    <row r="538" spans="1:7" x14ac:dyDescent="0.3">
      <c r="A538" s="58" t="s">
        <v>1593</v>
      </c>
      <c r="B538" s="58" t="s">
        <v>1599</v>
      </c>
      <c r="C538" s="58" t="s">
        <v>1588</v>
      </c>
      <c r="D538" s="58" t="s">
        <v>1600</v>
      </c>
      <c r="E538" s="58">
        <v>7</v>
      </c>
      <c r="F538" s="58">
        <v>17199</v>
      </c>
      <c r="G538" s="58">
        <v>120393</v>
      </c>
    </row>
    <row r="539" spans="1:7" x14ac:dyDescent="0.3">
      <c r="A539" s="58" t="s">
        <v>1601</v>
      </c>
      <c r="B539" s="58" t="s">
        <v>1599</v>
      </c>
      <c r="C539" s="58" t="s">
        <v>1592</v>
      </c>
      <c r="D539" s="58" t="s">
        <v>1594</v>
      </c>
      <c r="E539" s="58">
        <v>7</v>
      </c>
      <c r="F539" s="58">
        <v>7607</v>
      </c>
      <c r="G539" s="58">
        <v>53249</v>
      </c>
    </row>
    <row r="540" spans="1:7" x14ac:dyDescent="0.3">
      <c r="A540" s="58" t="s">
        <v>1604</v>
      </c>
      <c r="B540" s="58" t="s">
        <v>1605</v>
      </c>
      <c r="C540" s="58" t="s">
        <v>1595</v>
      </c>
      <c r="D540" s="58" t="s">
        <v>1600</v>
      </c>
      <c r="E540" s="58">
        <v>2</v>
      </c>
      <c r="F540" s="58">
        <v>17461</v>
      </c>
      <c r="G540" s="58">
        <v>34922</v>
      </c>
    </row>
    <row r="541" spans="1:7" x14ac:dyDescent="0.3">
      <c r="A541" s="58" t="s">
        <v>1602</v>
      </c>
      <c r="B541" s="58" t="s">
        <v>1599</v>
      </c>
      <c r="C541" s="58" t="s">
        <v>1592</v>
      </c>
      <c r="D541" s="58" t="s">
        <v>1587</v>
      </c>
      <c r="E541" s="58">
        <v>7</v>
      </c>
      <c r="F541" s="58">
        <v>1522</v>
      </c>
      <c r="G541" s="58">
        <v>10654</v>
      </c>
    </row>
    <row r="542" spans="1:7" x14ac:dyDescent="0.3">
      <c r="A542" s="58" t="s">
        <v>1604</v>
      </c>
      <c r="B542" s="58" t="s">
        <v>1605</v>
      </c>
      <c r="C542" s="58" t="s">
        <v>1588</v>
      </c>
      <c r="D542" s="58" t="s">
        <v>1600</v>
      </c>
      <c r="E542" s="58">
        <v>8</v>
      </c>
      <c r="F542" s="58">
        <v>12012</v>
      </c>
      <c r="G542" s="58">
        <v>96096</v>
      </c>
    </row>
    <row r="543" spans="1:7" x14ac:dyDescent="0.3">
      <c r="A543" s="58" t="s">
        <v>1602</v>
      </c>
      <c r="B543" s="58" t="s">
        <v>1605</v>
      </c>
      <c r="C543" s="58" t="s">
        <v>1592</v>
      </c>
      <c r="D543" s="58" t="s">
        <v>1606</v>
      </c>
      <c r="E543" s="58">
        <v>7</v>
      </c>
      <c r="F543" s="58">
        <v>29967</v>
      </c>
      <c r="G543" s="58">
        <v>209769</v>
      </c>
    </row>
    <row r="544" spans="1:7" x14ac:dyDescent="0.3">
      <c r="A544" s="58" t="s">
        <v>1593</v>
      </c>
      <c r="B544" s="58" t="s">
        <v>1599</v>
      </c>
      <c r="C544" s="58" t="s">
        <v>1588</v>
      </c>
      <c r="D544" s="58" t="s">
        <v>1606</v>
      </c>
      <c r="E544" s="58">
        <v>4</v>
      </c>
      <c r="F544" s="58">
        <v>16659</v>
      </c>
      <c r="G544" s="58">
        <v>66636</v>
      </c>
    </row>
    <row r="545" spans="1:7" x14ac:dyDescent="0.3">
      <c r="A545" s="58" t="s">
        <v>1602</v>
      </c>
      <c r="B545" s="58" t="s">
        <v>1597</v>
      </c>
      <c r="C545" s="58" t="s">
        <v>1595</v>
      </c>
      <c r="D545" s="58" t="s">
        <v>1594</v>
      </c>
      <c r="E545" s="58">
        <v>4</v>
      </c>
      <c r="F545" s="58">
        <v>12601</v>
      </c>
      <c r="G545" s="58">
        <v>50404</v>
      </c>
    </row>
    <row r="546" spans="1:7" x14ac:dyDescent="0.3">
      <c r="A546" s="58" t="s">
        <v>1590</v>
      </c>
      <c r="B546" s="58" t="s">
        <v>1597</v>
      </c>
      <c r="C546" s="58" t="s">
        <v>1595</v>
      </c>
      <c r="D546" s="58" t="s">
        <v>1591</v>
      </c>
      <c r="E546" s="58">
        <v>9</v>
      </c>
      <c r="F546" s="58">
        <v>29369</v>
      </c>
      <c r="G546" s="58">
        <v>264321</v>
      </c>
    </row>
    <row r="547" spans="1:7" x14ac:dyDescent="0.3">
      <c r="A547" s="58" t="s">
        <v>1590</v>
      </c>
      <c r="B547" s="58" t="s">
        <v>1605</v>
      </c>
      <c r="C547" s="58" t="s">
        <v>1588</v>
      </c>
      <c r="D547" s="58" t="s">
        <v>1606</v>
      </c>
      <c r="E547" s="58">
        <v>7</v>
      </c>
      <c r="F547" s="58">
        <v>27300</v>
      </c>
      <c r="G547" s="58">
        <v>191100</v>
      </c>
    </row>
    <row r="548" spans="1:7" x14ac:dyDescent="0.3">
      <c r="A548" s="58" t="s">
        <v>1590</v>
      </c>
      <c r="B548" s="58" t="s">
        <v>1597</v>
      </c>
      <c r="C548" s="58" t="s">
        <v>1595</v>
      </c>
      <c r="D548" s="58" t="s">
        <v>1594</v>
      </c>
      <c r="E548" s="58">
        <v>6</v>
      </c>
      <c r="F548" s="58">
        <v>17212</v>
      </c>
      <c r="G548" s="58">
        <v>103272</v>
      </c>
    </row>
    <row r="549" spans="1:7" x14ac:dyDescent="0.3">
      <c r="A549" s="58" t="s">
        <v>1602</v>
      </c>
      <c r="B549" s="58" t="s">
        <v>1589</v>
      </c>
      <c r="C549" s="58" t="s">
        <v>1596</v>
      </c>
      <c r="D549" s="58" t="s">
        <v>1591</v>
      </c>
      <c r="E549" s="58">
        <v>7</v>
      </c>
      <c r="F549" s="58">
        <v>19908</v>
      </c>
      <c r="G549" s="58">
        <v>139356</v>
      </c>
    </row>
    <row r="550" spans="1:7" x14ac:dyDescent="0.3">
      <c r="A550" s="58" t="s">
        <v>1602</v>
      </c>
      <c r="B550" s="58" t="s">
        <v>1599</v>
      </c>
      <c r="C550" s="58" t="s">
        <v>1596</v>
      </c>
      <c r="D550" s="58" t="s">
        <v>1594</v>
      </c>
      <c r="E550" s="58">
        <v>9</v>
      </c>
      <c r="F550" s="58">
        <v>24642</v>
      </c>
      <c r="G550" s="58">
        <v>221778</v>
      </c>
    </row>
    <row r="551" spans="1:7" x14ac:dyDescent="0.3">
      <c r="A551" s="58" t="s">
        <v>1601</v>
      </c>
      <c r="B551" s="58" t="s">
        <v>1605</v>
      </c>
      <c r="C551" s="58" t="s">
        <v>1595</v>
      </c>
      <c r="D551" s="58" t="s">
        <v>1606</v>
      </c>
      <c r="E551" s="58">
        <v>3</v>
      </c>
      <c r="F551" s="58">
        <v>3750</v>
      </c>
      <c r="G551" s="58">
        <v>11250</v>
      </c>
    </row>
    <row r="552" spans="1:7" x14ac:dyDescent="0.3">
      <c r="A552" s="58" t="s">
        <v>1601</v>
      </c>
      <c r="B552" s="58" t="s">
        <v>1599</v>
      </c>
      <c r="C552" s="58" t="s">
        <v>1595</v>
      </c>
      <c r="D552" s="58" t="s">
        <v>1600</v>
      </c>
      <c r="E552" s="58">
        <v>3</v>
      </c>
      <c r="F552" s="58">
        <v>9490</v>
      </c>
      <c r="G552" s="58">
        <v>28470</v>
      </c>
    </row>
    <row r="553" spans="1:7" x14ac:dyDescent="0.3">
      <c r="A553" s="58" t="s">
        <v>1601</v>
      </c>
      <c r="B553" s="58" t="s">
        <v>1599</v>
      </c>
      <c r="C553" s="58" t="s">
        <v>1588</v>
      </c>
      <c r="D553" s="58" t="s">
        <v>1587</v>
      </c>
      <c r="E553" s="58">
        <v>7</v>
      </c>
      <c r="F553" s="58">
        <v>11770</v>
      </c>
      <c r="G553" s="58">
        <v>82390</v>
      </c>
    </row>
    <row r="554" spans="1:7" x14ac:dyDescent="0.3">
      <c r="A554" s="58" t="s">
        <v>1590</v>
      </c>
      <c r="B554" s="58" t="s">
        <v>1589</v>
      </c>
      <c r="C554" s="58" t="s">
        <v>1588</v>
      </c>
      <c r="D554" s="58" t="s">
        <v>1594</v>
      </c>
      <c r="E554" s="58">
        <v>9</v>
      </c>
      <c r="F554" s="58">
        <v>7595</v>
      </c>
      <c r="G554" s="58">
        <v>68355</v>
      </c>
    </row>
    <row r="555" spans="1:7" x14ac:dyDescent="0.3">
      <c r="A555" s="58" t="s">
        <v>1602</v>
      </c>
      <c r="B555" s="58" t="s">
        <v>1589</v>
      </c>
      <c r="C555" s="58" t="s">
        <v>1588</v>
      </c>
      <c r="D555" s="58" t="s">
        <v>1587</v>
      </c>
      <c r="E555" s="58">
        <v>7</v>
      </c>
      <c r="F555" s="58">
        <v>3648</v>
      </c>
      <c r="G555" s="58">
        <v>25536</v>
      </c>
    </row>
    <row r="556" spans="1:7" x14ac:dyDescent="0.3">
      <c r="A556" s="58" t="s">
        <v>1602</v>
      </c>
      <c r="B556" s="58" t="s">
        <v>1589</v>
      </c>
      <c r="C556" s="58" t="s">
        <v>1588</v>
      </c>
      <c r="D556" s="58" t="s">
        <v>1598</v>
      </c>
      <c r="E556" s="58">
        <v>1</v>
      </c>
      <c r="F556" s="58">
        <v>9746</v>
      </c>
      <c r="G556" s="58">
        <v>9746</v>
      </c>
    </row>
    <row r="557" spans="1:7" x14ac:dyDescent="0.3">
      <c r="A557" s="58" t="s">
        <v>1604</v>
      </c>
      <c r="B557" s="58" t="s">
        <v>1599</v>
      </c>
      <c r="C557" s="58" t="s">
        <v>1596</v>
      </c>
      <c r="D557" s="58" t="s">
        <v>1598</v>
      </c>
      <c r="E557" s="58">
        <v>8</v>
      </c>
      <c r="F557" s="58">
        <v>3117</v>
      </c>
      <c r="G557" s="58">
        <v>24936</v>
      </c>
    </row>
    <row r="558" spans="1:7" x14ac:dyDescent="0.3">
      <c r="A558" s="58" t="s">
        <v>1604</v>
      </c>
      <c r="B558" s="58" t="s">
        <v>1605</v>
      </c>
      <c r="C558" s="58" t="s">
        <v>1595</v>
      </c>
      <c r="D558" s="58" t="s">
        <v>1591</v>
      </c>
      <c r="E558" s="58">
        <v>5</v>
      </c>
      <c r="F558" s="58">
        <v>9128</v>
      </c>
      <c r="G558" s="58">
        <v>45640</v>
      </c>
    </row>
    <row r="559" spans="1:7" x14ac:dyDescent="0.3">
      <c r="A559" s="58" t="s">
        <v>1590</v>
      </c>
      <c r="B559" s="58" t="s">
        <v>1605</v>
      </c>
      <c r="C559" s="58" t="s">
        <v>1595</v>
      </c>
      <c r="D559" s="58" t="s">
        <v>1591</v>
      </c>
      <c r="E559" s="58">
        <v>6</v>
      </c>
      <c r="F559" s="58">
        <v>10090</v>
      </c>
      <c r="G559" s="58">
        <v>60540</v>
      </c>
    </row>
    <row r="560" spans="1:7" x14ac:dyDescent="0.3">
      <c r="A560" s="58" t="s">
        <v>1604</v>
      </c>
      <c r="B560" s="58" t="s">
        <v>1597</v>
      </c>
      <c r="C560" s="58" t="s">
        <v>1595</v>
      </c>
      <c r="D560" s="58" t="s">
        <v>1598</v>
      </c>
      <c r="E560" s="58">
        <v>10</v>
      </c>
      <c r="F560" s="58">
        <v>12829</v>
      </c>
      <c r="G560" s="58">
        <v>128290</v>
      </c>
    </row>
    <row r="561" spans="1:7" x14ac:dyDescent="0.3">
      <c r="A561" s="58" t="s">
        <v>1601</v>
      </c>
      <c r="B561" s="58" t="s">
        <v>1605</v>
      </c>
      <c r="C561" s="58" t="s">
        <v>1592</v>
      </c>
      <c r="D561" s="58" t="s">
        <v>1598</v>
      </c>
      <c r="E561" s="58">
        <v>8</v>
      </c>
      <c r="F561" s="58">
        <v>23226</v>
      </c>
      <c r="G561" s="58">
        <v>185808</v>
      </c>
    </row>
    <row r="562" spans="1:7" x14ac:dyDescent="0.3">
      <c r="A562" s="58" t="s">
        <v>1593</v>
      </c>
      <c r="B562" s="58" t="s">
        <v>1599</v>
      </c>
      <c r="C562" s="58" t="s">
        <v>1596</v>
      </c>
      <c r="D562" s="58" t="s">
        <v>1606</v>
      </c>
      <c r="E562" s="58">
        <v>8</v>
      </c>
      <c r="F562" s="58">
        <v>18124</v>
      </c>
      <c r="G562" s="58">
        <v>144992</v>
      </c>
    </row>
    <row r="563" spans="1:7" x14ac:dyDescent="0.3">
      <c r="A563" s="58" t="s">
        <v>1601</v>
      </c>
      <c r="B563" s="58" t="s">
        <v>1589</v>
      </c>
      <c r="C563" s="58" t="s">
        <v>1596</v>
      </c>
      <c r="D563" s="58" t="s">
        <v>1600</v>
      </c>
      <c r="E563" s="58">
        <v>6</v>
      </c>
      <c r="F563" s="58">
        <v>2900</v>
      </c>
      <c r="G563" s="58">
        <v>17400</v>
      </c>
    </row>
    <row r="564" spans="1:7" x14ac:dyDescent="0.3">
      <c r="A564" s="58" t="s">
        <v>1604</v>
      </c>
      <c r="B564" s="58" t="s">
        <v>1597</v>
      </c>
      <c r="C564" s="58" t="s">
        <v>1592</v>
      </c>
      <c r="D564" s="58" t="s">
        <v>1594</v>
      </c>
      <c r="E564" s="58">
        <v>3</v>
      </c>
      <c r="F564" s="58">
        <v>23415</v>
      </c>
      <c r="G564" s="58">
        <v>70245</v>
      </c>
    </row>
    <row r="565" spans="1:7" x14ac:dyDescent="0.3">
      <c r="A565" s="58" t="s">
        <v>1601</v>
      </c>
      <c r="B565" s="58" t="s">
        <v>1599</v>
      </c>
      <c r="C565" s="58" t="s">
        <v>1603</v>
      </c>
      <c r="D565" s="58" t="s">
        <v>1600</v>
      </c>
      <c r="E565" s="58">
        <v>1</v>
      </c>
      <c r="F565" s="58">
        <v>1092</v>
      </c>
      <c r="G565" s="58">
        <v>1092</v>
      </c>
    </row>
    <row r="566" spans="1:7" x14ac:dyDescent="0.3">
      <c r="A566" s="58" t="s">
        <v>1604</v>
      </c>
      <c r="B566" s="58" t="s">
        <v>1597</v>
      </c>
      <c r="C566" s="58" t="s">
        <v>1603</v>
      </c>
      <c r="D566" s="58" t="s">
        <v>1587</v>
      </c>
      <c r="E566" s="58">
        <v>3</v>
      </c>
      <c r="F566" s="58">
        <v>24149</v>
      </c>
      <c r="G566" s="58">
        <v>72447</v>
      </c>
    </row>
    <row r="567" spans="1:7" x14ac:dyDescent="0.3">
      <c r="A567" s="58" t="s">
        <v>1602</v>
      </c>
      <c r="B567" s="58" t="s">
        <v>1589</v>
      </c>
      <c r="C567" s="58" t="s">
        <v>1603</v>
      </c>
      <c r="D567" s="58" t="s">
        <v>1606</v>
      </c>
      <c r="E567" s="58">
        <v>10</v>
      </c>
      <c r="F567" s="58">
        <v>11315</v>
      </c>
      <c r="G567" s="58">
        <v>113150</v>
      </c>
    </row>
    <row r="568" spans="1:7" x14ac:dyDescent="0.3">
      <c r="A568" s="58" t="s">
        <v>1593</v>
      </c>
      <c r="B568" s="58" t="s">
        <v>1589</v>
      </c>
      <c r="C568" s="58" t="s">
        <v>1592</v>
      </c>
      <c r="D568" s="58" t="s">
        <v>1598</v>
      </c>
      <c r="E568" s="58">
        <v>4</v>
      </c>
      <c r="F568" s="58">
        <v>13061</v>
      </c>
      <c r="G568" s="58">
        <v>52244</v>
      </c>
    </row>
    <row r="569" spans="1:7" x14ac:dyDescent="0.3">
      <c r="A569" s="58" t="s">
        <v>1593</v>
      </c>
      <c r="B569" s="58" t="s">
        <v>1599</v>
      </c>
      <c r="C569" s="58" t="s">
        <v>1592</v>
      </c>
      <c r="D569" s="58" t="s">
        <v>1591</v>
      </c>
      <c r="E569" s="58">
        <v>7</v>
      </c>
      <c r="F569" s="58">
        <v>5643</v>
      </c>
      <c r="G569" s="58">
        <v>39501</v>
      </c>
    </row>
    <row r="570" spans="1:7" x14ac:dyDescent="0.3">
      <c r="A570" s="58" t="s">
        <v>1602</v>
      </c>
      <c r="B570" s="58" t="s">
        <v>1605</v>
      </c>
      <c r="C570" s="58" t="s">
        <v>1588</v>
      </c>
      <c r="D570" s="58" t="s">
        <v>1606</v>
      </c>
      <c r="E570" s="58">
        <v>1</v>
      </c>
      <c r="F570" s="58">
        <v>8586</v>
      </c>
      <c r="G570" s="58">
        <v>8586</v>
      </c>
    </row>
    <row r="571" spans="1:7" x14ac:dyDescent="0.3">
      <c r="A571" s="58" t="s">
        <v>1604</v>
      </c>
      <c r="B571" s="58" t="s">
        <v>1597</v>
      </c>
      <c r="C571" s="58" t="s">
        <v>1595</v>
      </c>
      <c r="D571" s="58" t="s">
        <v>1600</v>
      </c>
      <c r="E571" s="58">
        <v>8</v>
      </c>
      <c r="F571" s="58">
        <v>7299</v>
      </c>
      <c r="G571" s="58">
        <v>58392</v>
      </c>
    </row>
    <row r="572" spans="1:7" x14ac:dyDescent="0.3">
      <c r="A572" s="58" t="s">
        <v>1593</v>
      </c>
      <c r="B572" s="58" t="s">
        <v>1597</v>
      </c>
      <c r="C572" s="58" t="s">
        <v>1603</v>
      </c>
      <c r="D572" s="58" t="s">
        <v>1591</v>
      </c>
      <c r="E572" s="58">
        <v>4</v>
      </c>
      <c r="F572" s="58">
        <v>10863</v>
      </c>
      <c r="G572" s="58">
        <v>43452</v>
      </c>
    </row>
    <row r="573" spans="1:7" x14ac:dyDescent="0.3">
      <c r="A573" s="58" t="s">
        <v>1604</v>
      </c>
      <c r="B573" s="58" t="s">
        <v>1599</v>
      </c>
      <c r="C573" s="58" t="s">
        <v>1596</v>
      </c>
      <c r="D573" s="58" t="s">
        <v>1600</v>
      </c>
      <c r="E573" s="58">
        <v>4</v>
      </c>
      <c r="F573" s="58">
        <v>8293</v>
      </c>
      <c r="G573" s="58">
        <v>33172</v>
      </c>
    </row>
    <row r="574" spans="1:7" x14ac:dyDescent="0.3">
      <c r="A574" s="58" t="s">
        <v>1590</v>
      </c>
      <c r="B574" s="58" t="s">
        <v>1605</v>
      </c>
      <c r="C574" s="58" t="s">
        <v>1592</v>
      </c>
      <c r="D574" s="58" t="s">
        <v>1606</v>
      </c>
      <c r="E574" s="58">
        <v>6</v>
      </c>
      <c r="F574" s="58">
        <v>21434</v>
      </c>
      <c r="G574" s="58">
        <v>128604</v>
      </c>
    </row>
    <row r="575" spans="1:7" x14ac:dyDescent="0.3">
      <c r="A575" s="58" t="s">
        <v>1602</v>
      </c>
      <c r="B575" s="58" t="s">
        <v>1605</v>
      </c>
      <c r="C575" s="58" t="s">
        <v>1596</v>
      </c>
      <c r="D575" s="58" t="s">
        <v>1591</v>
      </c>
      <c r="E575" s="58">
        <v>5</v>
      </c>
      <c r="F575" s="58">
        <v>5786</v>
      </c>
      <c r="G575" s="58">
        <v>28930</v>
      </c>
    </row>
    <row r="576" spans="1:7" x14ac:dyDescent="0.3">
      <c r="A576" s="58" t="s">
        <v>1604</v>
      </c>
      <c r="B576" s="58" t="s">
        <v>1599</v>
      </c>
      <c r="C576" s="58" t="s">
        <v>1592</v>
      </c>
      <c r="D576" s="58" t="s">
        <v>1600</v>
      </c>
      <c r="E576" s="58">
        <v>9</v>
      </c>
      <c r="F576" s="58">
        <v>11726</v>
      </c>
      <c r="G576" s="58">
        <v>105534</v>
      </c>
    </row>
    <row r="577" spans="1:7" x14ac:dyDescent="0.3">
      <c r="A577" s="58" t="s">
        <v>1602</v>
      </c>
      <c r="B577" s="58" t="s">
        <v>1589</v>
      </c>
      <c r="C577" s="58" t="s">
        <v>1603</v>
      </c>
      <c r="D577" s="58" t="s">
        <v>1606</v>
      </c>
      <c r="E577" s="58">
        <v>10</v>
      </c>
      <c r="F577" s="58">
        <v>18259</v>
      </c>
      <c r="G577" s="58">
        <v>182590</v>
      </c>
    </row>
    <row r="578" spans="1:7" x14ac:dyDescent="0.3">
      <c r="A578" s="58" t="s">
        <v>1590</v>
      </c>
      <c r="B578" s="58" t="s">
        <v>1589</v>
      </c>
      <c r="C578" s="58" t="s">
        <v>1603</v>
      </c>
      <c r="D578" s="58" t="s">
        <v>1606</v>
      </c>
      <c r="E578" s="58">
        <v>6</v>
      </c>
      <c r="F578" s="58">
        <v>27722</v>
      </c>
      <c r="G578" s="58">
        <v>166332</v>
      </c>
    </row>
    <row r="579" spans="1:7" x14ac:dyDescent="0.3">
      <c r="A579" s="58" t="s">
        <v>1602</v>
      </c>
      <c r="B579" s="58" t="s">
        <v>1589</v>
      </c>
      <c r="C579" s="58" t="s">
        <v>1592</v>
      </c>
      <c r="D579" s="58" t="s">
        <v>1600</v>
      </c>
      <c r="E579" s="58">
        <v>1</v>
      </c>
      <c r="F579" s="58">
        <v>13354</v>
      </c>
      <c r="G579" s="58">
        <v>13354</v>
      </c>
    </row>
    <row r="580" spans="1:7" x14ac:dyDescent="0.3">
      <c r="A580" s="58" t="s">
        <v>1602</v>
      </c>
      <c r="B580" s="58" t="s">
        <v>1605</v>
      </c>
      <c r="C580" s="58" t="s">
        <v>1595</v>
      </c>
      <c r="D580" s="58" t="s">
        <v>1587</v>
      </c>
      <c r="E580" s="58">
        <v>8</v>
      </c>
      <c r="F580" s="58">
        <v>5181</v>
      </c>
      <c r="G580" s="58">
        <v>41448</v>
      </c>
    </row>
    <row r="581" spans="1:7" x14ac:dyDescent="0.3">
      <c r="A581" s="58" t="s">
        <v>1602</v>
      </c>
      <c r="B581" s="58" t="s">
        <v>1599</v>
      </c>
      <c r="C581" s="58" t="s">
        <v>1603</v>
      </c>
      <c r="D581" s="58" t="s">
        <v>1587</v>
      </c>
      <c r="E581" s="58">
        <v>10</v>
      </c>
      <c r="F581" s="58">
        <v>6404</v>
      </c>
      <c r="G581" s="58">
        <v>64040</v>
      </c>
    </row>
    <row r="582" spans="1:7" x14ac:dyDescent="0.3">
      <c r="A582" s="58" t="s">
        <v>1602</v>
      </c>
      <c r="B582" s="58" t="s">
        <v>1597</v>
      </c>
      <c r="C582" s="58" t="s">
        <v>1595</v>
      </c>
      <c r="D582" s="58" t="s">
        <v>1591</v>
      </c>
      <c r="E582" s="58">
        <v>2</v>
      </c>
      <c r="F582" s="58">
        <v>18103</v>
      </c>
      <c r="G582" s="58">
        <v>36206</v>
      </c>
    </row>
    <row r="583" spans="1:7" x14ac:dyDescent="0.3">
      <c r="A583" s="58" t="s">
        <v>1590</v>
      </c>
      <c r="B583" s="58" t="s">
        <v>1597</v>
      </c>
      <c r="C583" s="58" t="s">
        <v>1588</v>
      </c>
      <c r="D583" s="58" t="s">
        <v>1606</v>
      </c>
      <c r="E583" s="58">
        <v>6</v>
      </c>
      <c r="F583" s="58">
        <v>16323</v>
      </c>
      <c r="G583" s="58">
        <v>97938</v>
      </c>
    </row>
    <row r="584" spans="1:7" x14ac:dyDescent="0.3">
      <c r="A584" s="58" t="s">
        <v>1590</v>
      </c>
      <c r="B584" s="58" t="s">
        <v>1605</v>
      </c>
      <c r="C584" s="58" t="s">
        <v>1603</v>
      </c>
      <c r="D584" s="58" t="s">
        <v>1606</v>
      </c>
      <c r="E584" s="58">
        <v>5</v>
      </c>
      <c r="F584" s="58">
        <v>14232</v>
      </c>
      <c r="G584" s="58">
        <v>71160</v>
      </c>
    </row>
    <row r="585" spans="1:7" x14ac:dyDescent="0.3">
      <c r="A585" s="58" t="s">
        <v>1601</v>
      </c>
      <c r="B585" s="58" t="s">
        <v>1597</v>
      </c>
      <c r="C585" s="58" t="s">
        <v>1588</v>
      </c>
      <c r="D585" s="58" t="s">
        <v>1606</v>
      </c>
      <c r="E585" s="58">
        <v>8</v>
      </c>
      <c r="F585" s="58">
        <v>18841</v>
      </c>
      <c r="G585" s="58">
        <v>150728</v>
      </c>
    </row>
    <row r="586" spans="1:7" x14ac:dyDescent="0.3">
      <c r="A586" s="58" t="s">
        <v>1604</v>
      </c>
      <c r="B586" s="58" t="s">
        <v>1605</v>
      </c>
      <c r="C586" s="58" t="s">
        <v>1595</v>
      </c>
      <c r="D586" s="58" t="s">
        <v>1594</v>
      </c>
      <c r="E586" s="58">
        <v>1</v>
      </c>
      <c r="F586" s="58">
        <v>7497</v>
      </c>
      <c r="G586" s="58">
        <v>7497</v>
      </c>
    </row>
    <row r="587" spans="1:7" x14ac:dyDescent="0.3">
      <c r="A587" s="58" t="s">
        <v>1602</v>
      </c>
      <c r="B587" s="58" t="s">
        <v>1589</v>
      </c>
      <c r="C587" s="58" t="s">
        <v>1595</v>
      </c>
      <c r="D587" s="58" t="s">
        <v>1598</v>
      </c>
      <c r="E587" s="58">
        <v>3</v>
      </c>
      <c r="F587" s="58">
        <v>24040</v>
      </c>
      <c r="G587" s="58">
        <v>72120</v>
      </c>
    </row>
    <row r="588" spans="1:7" x14ac:dyDescent="0.3">
      <c r="A588" s="58" t="s">
        <v>1593</v>
      </c>
      <c r="B588" s="58" t="s">
        <v>1599</v>
      </c>
      <c r="C588" s="58" t="s">
        <v>1592</v>
      </c>
      <c r="D588" s="58" t="s">
        <v>1591</v>
      </c>
      <c r="E588" s="58">
        <v>3</v>
      </c>
      <c r="F588" s="58">
        <v>5756</v>
      </c>
      <c r="G588" s="58">
        <v>17268</v>
      </c>
    </row>
    <row r="589" spans="1:7" x14ac:dyDescent="0.3">
      <c r="A589" s="58" t="s">
        <v>1593</v>
      </c>
      <c r="B589" s="58" t="s">
        <v>1589</v>
      </c>
      <c r="C589" s="58" t="s">
        <v>1595</v>
      </c>
      <c r="D589" s="58" t="s">
        <v>1606</v>
      </c>
      <c r="E589" s="58">
        <v>8</v>
      </c>
      <c r="F589" s="58">
        <v>11876</v>
      </c>
      <c r="G589" s="58">
        <v>95008</v>
      </c>
    </row>
    <row r="590" spans="1:7" x14ac:dyDescent="0.3">
      <c r="A590" s="58" t="s">
        <v>1601</v>
      </c>
      <c r="B590" s="58" t="s">
        <v>1605</v>
      </c>
      <c r="C590" s="58" t="s">
        <v>1596</v>
      </c>
      <c r="D590" s="58" t="s">
        <v>1587</v>
      </c>
      <c r="E590" s="58">
        <v>1</v>
      </c>
      <c r="F590" s="58">
        <v>4886</v>
      </c>
      <c r="G590" s="58">
        <v>4886</v>
      </c>
    </row>
    <row r="591" spans="1:7" x14ac:dyDescent="0.3">
      <c r="A591" s="58" t="s">
        <v>1601</v>
      </c>
      <c r="B591" s="58" t="s">
        <v>1605</v>
      </c>
      <c r="C591" s="58" t="s">
        <v>1603</v>
      </c>
      <c r="D591" s="58" t="s">
        <v>1594</v>
      </c>
      <c r="E591" s="58">
        <v>3</v>
      </c>
      <c r="F591" s="58">
        <v>17479</v>
      </c>
      <c r="G591" s="58">
        <v>52437</v>
      </c>
    </row>
    <row r="592" spans="1:7" x14ac:dyDescent="0.3">
      <c r="A592" s="58" t="s">
        <v>1593</v>
      </c>
      <c r="B592" s="58" t="s">
        <v>1589</v>
      </c>
      <c r="C592" s="58" t="s">
        <v>1595</v>
      </c>
      <c r="D592" s="58" t="s">
        <v>1606</v>
      </c>
      <c r="E592" s="58">
        <v>7</v>
      </c>
      <c r="F592" s="58">
        <v>6277</v>
      </c>
      <c r="G592" s="58">
        <v>43939</v>
      </c>
    </row>
    <row r="593" spans="1:7" x14ac:dyDescent="0.3">
      <c r="A593" s="58" t="s">
        <v>1590</v>
      </c>
      <c r="B593" s="58" t="s">
        <v>1589</v>
      </c>
      <c r="C593" s="58" t="s">
        <v>1592</v>
      </c>
      <c r="D593" s="58" t="s">
        <v>1594</v>
      </c>
      <c r="E593" s="58">
        <v>1</v>
      </c>
      <c r="F593" s="58">
        <v>12321</v>
      </c>
      <c r="G593" s="58">
        <v>12321</v>
      </c>
    </row>
    <row r="594" spans="1:7" x14ac:dyDescent="0.3">
      <c r="A594" s="58" t="s">
        <v>1593</v>
      </c>
      <c r="B594" s="58" t="s">
        <v>1597</v>
      </c>
      <c r="C594" s="58" t="s">
        <v>1588</v>
      </c>
      <c r="D594" s="58" t="s">
        <v>1591</v>
      </c>
      <c r="E594" s="58">
        <v>10</v>
      </c>
      <c r="F594" s="58">
        <v>28467</v>
      </c>
      <c r="G594" s="58">
        <v>284670</v>
      </c>
    </row>
    <row r="595" spans="1:7" x14ac:dyDescent="0.3">
      <c r="A595" s="58" t="s">
        <v>1593</v>
      </c>
      <c r="B595" s="58" t="s">
        <v>1597</v>
      </c>
      <c r="C595" s="58" t="s">
        <v>1603</v>
      </c>
      <c r="D595" s="58" t="s">
        <v>1591</v>
      </c>
      <c r="E595" s="58">
        <v>5</v>
      </c>
      <c r="F595" s="58">
        <v>7459</v>
      </c>
      <c r="G595" s="58">
        <v>37295</v>
      </c>
    </row>
    <row r="596" spans="1:7" x14ac:dyDescent="0.3">
      <c r="A596" s="58" t="s">
        <v>1604</v>
      </c>
      <c r="B596" s="58" t="s">
        <v>1597</v>
      </c>
      <c r="C596" s="58" t="s">
        <v>1592</v>
      </c>
      <c r="D596" s="58" t="s">
        <v>1591</v>
      </c>
      <c r="E596" s="58">
        <v>6</v>
      </c>
      <c r="F596" s="58">
        <v>11224</v>
      </c>
      <c r="G596" s="58">
        <v>67344</v>
      </c>
    </row>
    <row r="597" spans="1:7" x14ac:dyDescent="0.3">
      <c r="A597" s="58" t="s">
        <v>1593</v>
      </c>
      <c r="B597" s="58" t="s">
        <v>1597</v>
      </c>
      <c r="C597" s="58" t="s">
        <v>1595</v>
      </c>
      <c r="D597" s="58" t="s">
        <v>1606</v>
      </c>
      <c r="E597" s="58">
        <v>9</v>
      </c>
      <c r="F597" s="58">
        <v>10287</v>
      </c>
      <c r="G597" s="58">
        <v>92583</v>
      </c>
    </row>
    <row r="598" spans="1:7" x14ac:dyDescent="0.3">
      <c r="A598" s="58" t="s">
        <v>1602</v>
      </c>
      <c r="B598" s="58" t="s">
        <v>1605</v>
      </c>
      <c r="C598" s="58" t="s">
        <v>1588</v>
      </c>
      <c r="D598" s="58" t="s">
        <v>1591</v>
      </c>
      <c r="E598" s="58">
        <v>8</v>
      </c>
      <c r="F598" s="58">
        <v>25401</v>
      </c>
      <c r="G598" s="58">
        <v>203208</v>
      </c>
    </row>
    <row r="599" spans="1:7" x14ac:dyDescent="0.3">
      <c r="A599" s="58" t="s">
        <v>1601</v>
      </c>
      <c r="B599" s="58" t="s">
        <v>1605</v>
      </c>
      <c r="C599" s="58" t="s">
        <v>1588</v>
      </c>
      <c r="D599" s="58" t="s">
        <v>1606</v>
      </c>
      <c r="E599" s="58">
        <v>1</v>
      </c>
      <c r="F599" s="58">
        <v>28027</v>
      </c>
      <c r="G599" s="58">
        <v>28027</v>
      </c>
    </row>
    <row r="600" spans="1:7" x14ac:dyDescent="0.3">
      <c r="A600" s="58" t="s">
        <v>1602</v>
      </c>
      <c r="B600" s="58" t="s">
        <v>1599</v>
      </c>
      <c r="C600" s="58" t="s">
        <v>1596</v>
      </c>
      <c r="D600" s="58" t="s">
        <v>1594</v>
      </c>
      <c r="E600" s="58">
        <v>3</v>
      </c>
      <c r="F600" s="58">
        <v>13875</v>
      </c>
      <c r="G600" s="58">
        <v>41625</v>
      </c>
    </row>
    <row r="601" spans="1:7" x14ac:dyDescent="0.3">
      <c r="A601" s="58" t="s">
        <v>1593</v>
      </c>
      <c r="B601" s="58" t="s">
        <v>1597</v>
      </c>
      <c r="C601" s="58" t="s">
        <v>1588</v>
      </c>
      <c r="D601" s="58" t="s">
        <v>1606</v>
      </c>
      <c r="E601" s="58">
        <v>5</v>
      </c>
      <c r="F601" s="58">
        <v>6123</v>
      </c>
      <c r="G601" s="58">
        <v>30615</v>
      </c>
    </row>
    <row r="602" spans="1:7" x14ac:dyDescent="0.3">
      <c r="A602" s="58" t="s">
        <v>1602</v>
      </c>
      <c r="B602" s="58" t="s">
        <v>1597</v>
      </c>
      <c r="C602" s="58" t="s">
        <v>1596</v>
      </c>
      <c r="D602" s="58" t="s">
        <v>1591</v>
      </c>
      <c r="E602" s="58">
        <v>8</v>
      </c>
      <c r="F602" s="58">
        <v>22932</v>
      </c>
      <c r="G602" s="58">
        <v>183456</v>
      </c>
    </row>
    <row r="603" spans="1:7" x14ac:dyDescent="0.3">
      <c r="A603" s="58" t="s">
        <v>1593</v>
      </c>
      <c r="B603" s="58" t="s">
        <v>1589</v>
      </c>
      <c r="C603" s="58" t="s">
        <v>1603</v>
      </c>
      <c r="D603" s="58" t="s">
        <v>1606</v>
      </c>
      <c r="E603" s="58">
        <v>4</v>
      </c>
      <c r="F603" s="58">
        <v>21160</v>
      </c>
      <c r="G603" s="58">
        <v>84640</v>
      </c>
    </row>
    <row r="604" spans="1:7" x14ac:dyDescent="0.3">
      <c r="A604" s="58" t="s">
        <v>1604</v>
      </c>
      <c r="B604" s="58" t="s">
        <v>1589</v>
      </c>
      <c r="C604" s="58" t="s">
        <v>1596</v>
      </c>
      <c r="D604" s="58" t="s">
        <v>1606</v>
      </c>
      <c r="E604" s="58">
        <v>1</v>
      </c>
      <c r="F604" s="58">
        <v>20548</v>
      </c>
      <c r="G604" s="58">
        <v>20548</v>
      </c>
    </row>
    <row r="605" spans="1:7" x14ac:dyDescent="0.3">
      <c r="A605" s="58" t="s">
        <v>1604</v>
      </c>
      <c r="B605" s="58" t="s">
        <v>1599</v>
      </c>
      <c r="C605" s="58" t="s">
        <v>1595</v>
      </c>
      <c r="D605" s="58" t="s">
        <v>1606</v>
      </c>
      <c r="E605" s="58">
        <v>5</v>
      </c>
      <c r="F605" s="58">
        <v>27379</v>
      </c>
      <c r="G605" s="58">
        <v>136895</v>
      </c>
    </row>
    <row r="606" spans="1:7" x14ac:dyDescent="0.3">
      <c r="A606" s="58" t="s">
        <v>1604</v>
      </c>
      <c r="B606" s="58" t="s">
        <v>1599</v>
      </c>
      <c r="C606" s="58" t="s">
        <v>1588</v>
      </c>
      <c r="D606" s="58" t="s">
        <v>1606</v>
      </c>
      <c r="E606" s="58">
        <v>2</v>
      </c>
      <c r="F606" s="58">
        <v>9861</v>
      </c>
      <c r="G606" s="58">
        <v>19722</v>
      </c>
    </row>
    <row r="607" spans="1:7" x14ac:dyDescent="0.3">
      <c r="A607" s="58" t="s">
        <v>1602</v>
      </c>
      <c r="B607" s="58" t="s">
        <v>1605</v>
      </c>
      <c r="C607" s="58" t="s">
        <v>1588</v>
      </c>
      <c r="D607" s="58" t="s">
        <v>1587</v>
      </c>
      <c r="E607" s="58">
        <v>2</v>
      </c>
      <c r="F607" s="58">
        <v>24289</v>
      </c>
      <c r="G607" s="58">
        <v>48578</v>
      </c>
    </row>
    <row r="608" spans="1:7" x14ac:dyDescent="0.3">
      <c r="A608" s="58" t="s">
        <v>1602</v>
      </c>
      <c r="B608" s="58" t="s">
        <v>1589</v>
      </c>
      <c r="C608" s="58" t="s">
        <v>1596</v>
      </c>
      <c r="D608" s="58" t="s">
        <v>1594</v>
      </c>
      <c r="E608" s="58">
        <v>7</v>
      </c>
      <c r="F608" s="58">
        <v>4413</v>
      </c>
      <c r="G608" s="58">
        <v>30891</v>
      </c>
    </row>
    <row r="609" spans="1:7" x14ac:dyDescent="0.3">
      <c r="A609" s="58" t="s">
        <v>1590</v>
      </c>
      <c r="B609" s="58" t="s">
        <v>1589</v>
      </c>
      <c r="C609" s="58" t="s">
        <v>1596</v>
      </c>
      <c r="D609" s="58" t="s">
        <v>1598</v>
      </c>
      <c r="E609" s="58">
        <v>4</v>
      </c>
      <c r="F609" s="58">
        <v>6646</v>
      </c>
      <c r="G609" s="58">
        <v>26584</v>
      </c>
    </row>
    <row r="610" spans="1:7" x14ac:dyDescent="0.3">
      <c r="A610" s="58" t="s">
        <v>1601</v>
      </c>
      <c r="B610" s="58" t="s">
        <v>1605</v>
      </c>
      <c r="C610" s="58" t="s">
        <v>1595</v>
      </c>
      <c r="D610" s="58" t="s">
        <v>1606</v>
      </c>
      <c r="E610" s="58">
        <v>10</v>
      </c>
      <c r="F610" s="58">
        <v>17496</v>
      </c>
      <c r="G610" s="58">
        <v>174960</v>
      </c>
    </row>
    <row r="611" spans="1:7" x14ac:dyDescent="0.3">
      <c r="A611" s="58" t="s">
        <v>1602</v>
      </c>
      <c r="B611" s="58" t="s">
        <v>1599</v>
      </c>
      <c r="C611" s="58" t="s">
        <v>1588</v>
      </c>
      <c r="D611" s="58" t="s">
        <v>1598</v>
      </c>
      <c r="E611" s="58">
        <v>6</v>
      </c>
      <c r="F611" s="58">
        <v>25232</v>
      </c>
      <c r="G611" s="58">
        <v>151392</v>
      </c>
    </row>
    <row r="612" spans="1:7" x14ac:dyDescent="0.3">
      <c r="A612" s="58" t="s">
        <v>1604</v>
      </c>
      <c r="B612" s="58" t="s">
        <v>1597</v>
      </c>
      <c r="C612" s="58" t="s">
        <v>1592</v>
      </c>
      <c r="D612" s="58" t="s">
        <v>1598</v>
      </c>
      <c r="E612" s="58">
        <v>1</v>
      </c>
      <c r="F612" s="58">
        <v>25737</v>
      </c>
      <c r="G612" s="58">
        <v>25737</v>
      </c>
    </row>
    <row r="613" spans="1:7" x14ac:dyDescent="0.3">
      <c r="A613" s="58" t="s">
        <v>1604</v>
      </c>
      <c r="B613" s="58" t="s">
        <v>1589</v>
      </c>
      <c r="C613" s="58" t="s">
        <v>1588</v>
      </c>
      <c r="D613" s="58" t="s">
        <v>1606</v>
      </c>
      <c r="E613" s="58">
        <v>9</v>
      </c>
      <c r="F613" s="58">
        <v>21628</v>
      </c>
      <c r="G613" s="58">
        <v>194652</v>
      </c>
    </row>
    <row r="614" spans="1:7" x14ac:dyDescent="0.3">
      <c r="A614" s="58" t="s">
        <v>1593</v>
      </c>
      <c r="B614" s="58" t="s">
        <v>1597</v>
      </c>
      <c r="C614" s="58" t="s">
        <v>1595</v>
      </c>
      <c r="D614" s="58" t="s">
        <v>1591</v>
      </c>
      <c r="E614" s="58">
        <v>7</v>
      </c>
      <c r="F614" s="58">
        <v>22852</v>
      </c>
      <c r="G614" s="58">
        <v>159964</v>
      </c>
    </row>
    <row r="615" spans="1:7" x14ac:dyDescent="0.3">
      <c r="A615" s="58" t="s">
        <v>1590</v>
      </c>
      <c r="B615" s="58" t="s">
        <v>1605</v>
      </c>
      <c r="C615" s="58" t="s">
        <v>1592</v>
      </c>
      <c r="D615" s="58" t="s">
        <v>1600</v>
      </c>
      <c r="E615" s="58">
        <v>8</v>
      </c>
      <c r="F615" s="58">
        <v>10408</v>
      </c>
      <c r="G615" s="58">
        <v>83264</v>
      </c>
    </row>
    <row r="616" spans="1:7" x14ac:dyDescent="0.3">
      <c r="A616" s="58" t="s">
        <v>1604</v>
      </c>
      <c r="B616" s="58" t="s">
        <v>1597</v>
      </c>
      <c r="C616" s="58" t="s">
        <v>1596</v>
      </c>
      <c r="D616" s="58" t="s">
        <v>1591</v>
      </c>
      <c r="E616" s="58">
        <v>3</v>
      </c>
      <c r="F616" s="58">
        <v>23784</v>
      </c>
      <c r="G616" s="58">
        <v>71352</v>
      </c>
    </row>
    <row r="617" spans="1:7" x14ac:dyDescent="0.3">
      <c r="A617" s="58" t="s">
        <v>1590</v>
      </c>
      <c r="B617" s="58" t="s">
        <v>1599</v>
      </c>
      <c r="C617" s="58" t="s">
        <v>1603</v>
      </c>
      <c r="D617" s="58" t="s">
        <v>1587</v>
      </c>
      <c r="E617" s="58">
        <v>4</v>
      </c>
      <c r="F617" s="58">
        <v>1095</v>
      </c>
      <c r="G617" s="58">
        <v>4380</v>
      </c>
    </row>
    <row r="618" spans="1:7" x14ac:dyDescent="0.3">
      <c r="A618" s="58" t="s">
        <v>1602</v>
      </c>
      <c r="B618" s="58" t="s">
        <v>1597</v>
      </c>
      <c r="C618" s="58" t="s">
        <v>1603</v>
      </c>
      <c r="D618" s="58" t="s">
        <v>1606</v>
      </c>
      <c r="E618" s="58">
        <v>8</v>
      </c>
      <c r="F618" s="58">
        <v>10613</v>
      </c>
      <c r="G618" s="58">
        <v>84904</v>
      </c>
    </row>
    <row r="619" spans="1:7" x14ac:dyDescent="0.3">
      <c r="A619" s="58" t="s">
        <v>1601</v>
      </c>
      <c r="B619" s="58" t="s">
        <v>1605</v>
      </c>
      <c r="C619" s="58" t="s">
        <v>1595</v>
      </c>
      <c r="D619" s="58" t="s">
        <v>1594</v>
      </c>
      <c r="E619" s="58">
        <v>4</v>
      </c>
      <c r="F619" s="58">
        <v>28715</v>
      </c>
      <c r="G619" s="58">
        <v>114860</v>
      </c>
    </row>
    <row r="620" spans="1:7" x14ac:dyDescent="0.3">
      <c r="A620" s="58" t="s">
        <v>1590</v>
      </c>
      <c r="B620" s="58" t="s">
        <v>1597</v>
      </c>
      <c r="C620" s="58" t="s">
        <v>1595</v>
      </c>
      <c r="D620" s="58" t="s">
        <v>1587</v>
      </c>
      <c r="E620" s="58">
        <v>3</v>
      </c>
      <c r="F620" s="58">
        <v>17987</v>
      </c>
      <c r="G620" s="58">
        <v>53961</v>
      </c>
    </row>
    <row r="621" spans="1:7" x14ac:dyDescent="0.3">
      <c r="A621" s="58" t="s">
        <v>1601</v>
      </c>
      <c r="B621" s="58" t="s">
        <v>1599</v>
      </c>
      <c r="C621" s="58" t="s">
        <v>1588</v>
      </c>
      <c r="D621" s="58" t="s">
        <v>1600</v>
      </c>
      <c r="E621" s="58">
        <v>3</v>
      </c>
      <c r="F621" s="58">
        <v>14843</v>
      </c>
      <c r="G621" s="58">
        <v>44529</v>
      </c>
    </row>
    <row r="622" spans="1:7" x14ac:dyDescent="0.3">
      <c r="A622" s="58" t="s">
        <v>1601</v>
      </c>
      <c r="B622" s="58" t="s">
        <v>1589</v>
      </c>
      <c r="C622" s="58" t="s">
        <v>1595</v>
      </c>
      <c r="D622" s="58" t="s">
        <v>1600</v>
      </c>
      <c r="E622" s="58">
        <v>9</v>
      </c>
      <c r="F622" s="58">
        <v>4179</v>
      </c>
      <c r="G622" s="58">
        <v>37611</v>
      </c>
    </row>
    <row r="623" spans="1:7" x14ac:dyDescent="0.3">
      <c r="A623" s="58" t="s">
        <v>1593</v>
      </c>
      <c r="B623" s="58" t="s">
        <v>1589</v>
      </c>
      <c r="C623" s="58" t="s">
        <v>1588</v>
      </c>
      <c r="D623" s="58" t="s">
        <v>1598</v>
      </c>
      <c r="E623" s="58">
        <v>6</v>
      </c>
      <c r="F623" s="58">
        <v>9960</v>
      </c>
      <c r="G623" s="58">
        <v>59760</v>
      </c>
    </row>
    <row r="624" spans="1:7" x14ac:dyDescent="0.3">
      <c r="A624" s="58" t="s">
        <v>1604</v>
      </c>
      <c r="B624" s="58" t="s">
        <v>1599</v>
      </c>
      <c r="C624" s="58" t="s">
        <v>1588</v>
      </c>
      <c r="D624" s="58" t="s">
        <v>1594</v>
      </c>
      <c r="E624" s="58">
        <v>3</v>
      </c>
      <c r="F624" s="58">
        <v>20910</v>
      </c>
      <c r="G624" s="58">
        <v>62730</v>
      </c>
    </row>
    <row r="625" spans="1:7" x14ac:dyDescent="0.3">
      <c r="A625" s="58" t="s">
        <v>1601</v>
      </c>
      <c r="B625" s="58" t="s">
        <v>1589</v>
      </c>
      <c r="C625" s="58" t="s">
        <v>1588</v>
      </c>
      <c r="D625" s="58" t="s">
        <v>1587</v>
      </c>
      <c r="E625" s="58">
        <v>5</v>
      </c>
      <c r="F625" s="58">
        <v>12045</v>
      </c>
      <c r="G625" s="58">
        <v>60225</v>
      </c>
    </row>
    <row r="626" spans="1:7" x14ac:dyDescent="0.3">
      <c r="A626" s="58" t="s">
        <v>1593</v>
      </c>
      <c r="B626" s="58" t="s">
        <v>1605</v>
      </c>
      <c r="C626" s="58" t="s">
        <v>1592</v>
      </c>
      <c r="D626" s="58" t="s">
        <v>1600</v>
      </c>
      <c r="E626" s="58">
        <v>5</v>
      </c>
      <c r="F626" s="58">
        <v>17254</v>
      </c>
      <c r="G626" s="58">
        <v>86270</v>
      </c>
    </row>
    <row r="627" spans="1:7" x14ac:dyDescent="0.3">
      <c r="A627" s="58" t="s">
        <v>1604</v>
      </c>
      <c r="B627" s="58" t="s">
        <v>1597</v>
      </c>
      <c r="C627" s="58" t="s">
        <v>1596</v>
      </c>
      <c r="D627" s="58" t="s">
        <v>1587</v>
      </c>
      <c r="E627" s="58">
        <v>6</v>
      </c>
      <c r="F627" s="58">
        <v>4737</v>
      </c>
      <c r="G627" s="58">
        <v>28422</v>
      </c>
    </row>
    <row r="628" spans="1:7" x14ac:dyDescent="0.3">
      <c r="A628" s="58" t="s">
        <v>1590</v>
      </c>
      <c r="B628" s="58" t="s">
        <v>1589</v>
      </c>
      <c r="C628" s="58" t="s">
        <v>1592</v>
      </c>
      <c r="D628" s="58" t="s">
        <v>1606</v>
      </c>
      <c r="E628" s="58">
        <v>9</v>
      </c>
      <c r="F628" s="58">
        <v>10235</v>
      </c>
      <c r="G628" s="58">
        <v>92115</v>
      </c>
    </row>
    <row r="629" spans="1:7" x14ac:dyDescent="0.3">
      <c r="A629" s="58" t="s">
        <v>1593</v>
      </c>
      <c r="B629" s="58" t="s">
        <v>1599</v>
      </c>
      <c r="C629" s="58" t="s">
        <v>1603</v>
      </c>
      <c r="D629" s="58" t="s">
        <v>1591</v>
      </c>
      <c r="E629" s="58">
        <v>10</v>
      </c>
      <c r="F629" s="58">
        <v>28485</v>
      </c>
      <c r="G629" s="58">
        <v>284850</v>
      </c>
    </row>
    <row r="630" spans="1:7" x14ac:dyDescent="0.3">
      <c r="A630" s="58" t="s">
        <v>1604</v>
      </c>
      <c r="B630" s="58" t="s">
        <v>1589</v>
      </c>
      <c r="C630" s="58" t="s">
        <v>1588</v>
      </c>
      <c r="D630" s="58" t="s">
        <v>1606</v>
      </c>
      <c r="E630" s="58">
        <v>6</v>
      </c>
      <c r="F630" s="58">
        <v>6617</v>
      </c>
      <c r="G630" s="58">
        <v>39702</v>
      </c>
    </row>
    <row r="631" spans="1:7" x14ac:dyDescent="0.3">
      <c r="A631" s="58" t="s">
        <v>1601</v>
      </c>
      <c r="B631" s="58" t="s">
        <v>1589</v>
      </c>
      <c r="C631" s="58" t="s">
        <v>1592</v>
      </c>
      <c r="D631" s="58" t="s">
        <v>1591</v>
      </c>
      <c r="E631" s="58">
        <v>2</v>
      </c>
      <c r="F631" s="58">
        <v>15970</v>
      </c>
      <c r="G631" s="58">
        <v>31940</v>
      </c>
    </row>
    <row r="632" spans="1:7" x14ac:dyDescent="0.3">
      <c r="A632" s="58" t="s">
        <v>1604</v>
      </c>
      <c r="B632" s="58" t="s">
        <v>1599</v>
      </c>
      <c r="C632" s="58" t="s">
        <v>1596</v>
      </c>
      <c r="D632" s="58" t="s">
        <v>1600</v>
      </c>
      <c r="E632" s="58">
        <v>5</v>
      </c>
      <c r="F632" s="58">
        <v>10970</v>
      </c>
      <c r="G632" s="58">
        <v>54850</v>
      </c>
    </row>
    <row r="633" spans="1:7" x14ac:dyDescent="0.3">
      <c r="A633" s="58" t="s">
        <v>1601</v>
      </c>
      <c r="B633" s="58" t="s">
        <v>1597</v>
      </c>
      <c r="C633" s="58" t="s">
        <v>1595</v>
      </c>
      <c r="D633" s="58" t="s">
        <v>1587</v>
      </c>
      <c r="E633" s="58">
        <v>6</v>
      </c>
      <c r="F633" s="58">
        <v>28514</v>
      </c>
      <c r="G633" s="58">
        <v>171084</v>
      </c>
    </row>
    <row r="634" spans="1:7" x14ac:dyDescent="0.3">
      <c r="A634" s="58" t="s">
        <v>1604</v>
      </c>
      <c r="B634" s="58" t="s">
        <v>1605</v>
      </c>
      <c r="C634" s="58" t="s">
        <v>1595</v>
      </c>
      <c r="D634" s="58" t="s">
        <v>1591</v>
      </c>
      <c r="E634" s="58">
        <v>7</v>
      </c>
      <c r="F634" s="58">
        <v>14467</v>
      </c>
      <c r="G634" s="58">
        <v>101269</v>
      </c>
    </row>
    <row r="635" spans="1:7" x14ac:dyDescent="0.3">
      <c r="A635" s="58" t="s">
        <v>1601</v>
      </c>
      <c r="B635" s="58" t="s">
        <v>1599</v>
      </c>
      <c r="C635" s="58" t="s">
        <v>1595</v>
      </c>
      <c r="D635" s="58" t="s">
        <v>1598</v>
      </c>
      <c r="E635" s="58">
        <v>1</v>
      </c>
      <c r="F635" s="58">
        <v>13077</v>
      </c>
      <c r="G635" s="58">
        <v>13077</v>
      </c>
    </row>
    <row r="636" spans="1:7" x14ac:dyDescent="0.3">
      <c r="A636" s="58" t="s">
        <v>1601</v>
      </c>
      <c r="B636" s="58" t="s">
        <v>1597</v>
      </c>
      <c r="C636" s="58" t="s">
        <v>1588</v>
      </c>
      <c r="D636" s="58" t="s">
        <v>1600</v>
      </c>
      <c r="E636" s="58">
        <v>6</v>
      </c>
      <c r="F636" s="58">
        <v>2759</v>
      </c>
      <c r="G636" s="58">
        <v>16554</v>
      </c>
    </row>
    <row r="637" spans="1:7" x14ac:dyDescent="0.3">
      <c r="A637" s="58" t="s">
        <v>1604</v>
      </c>
      <c r="B637" s="58" t="s">
        <v>1605</v>
      </c>
      <c r="C637" s="58" t="s">
        <v>1592</v>
      </c>
      <c r="D637" s="58" t="s">
        <v>1606</v>
      </c>
      <c r="E637" s="58">
        <v>2</v>
      </c>
      <c r="F637" s="58">
        <v>10698</v>
      </c>
      <c r="G637" s="58">
        <v>21396</v>
      </c>
    </row>
    <row r="638" spans="1:7" x14ac:dyDescent="0.3">
      <c r="A638" s="58" t="s">
        <v>1593</v>
      </c>
      <c r="B638" s="58" t="s">
        <v>1599</v>
      </c>
      <c r="C638" s="58" t="s">
        <v>1596</v>
      </c>
      <c r="D638" s="58" t="s">
        <v>1598</v>
      </c>
      <c r="E638" s="58">
        <v>8</v>
      </c>
      <c r="F638" s="58">
        <v>29223</v>
      </c>
      <c r="G638" s="58">
        <v>233784</v>
      </c>
    </row>
    <row r="639" spans="1:7" x14ac:dyDescent="0.3">
      <c r="A639" s="58" t="s">
        <v>1604</v>
      </c>
      <c r="B639" s="58" t="s">
        <v>1597</v>
      </c>
      <c r="C639" s="58" t="s">
        <v>1596</v>
      </c>
      <c r="D639" s="58" t="s">
        <v>1600</v>
      </c>
      <c r="E639" s="58">
        <v>4</v>
      </c>
      <c r="F639" s="58">
        <v>22015</v>
      </c>
      <c r="G639" s="58">
        <v>88060</v>
      </c>
    </row>
    <row r="640" spans="1:7" x14ac:dyDescent="0.3">
      <c r="A640" s="58" t="s">
        <v>1590</v>
      </c>
      <c r="B640" s="58" t="s">
        <v>1589</v>
      </c>
      <c r="C640" s="58" t="s">
        <v>1596</v>
      </c>
      <c r="D640" s="58" t="s">
        <v>1594</v>
      </c>
      <c r="E640" s="58">
        <v>2</v>
      </c>
      <c r="F640" s="58">
        <v>7941</v>
      </c>
      <c r="G640" s="58">
        <v>15882</v>
      </c>
    </row>
    <row r="641" spans="1:7" x14ac:dyDescent="0.3">
      <c r="A641" s="58" t="s">
        <v>1590</v>
      </c>
      <c r="B641" s="58" t="s">
        <v>1599</v>
      </c>
      <c r="C641" s="58" t="s">
        <v>1603</v>
      </c>
      <c r="D641" s="58" t="s">
        <v>1606</v>
      </c>
      <c r="E641" s="58">
        <v>3</v>
      </c>
      <c r="F641" s="58">
        <v>5876</v>
      </c>
      <c r="G641" s="58">
        <v>17628</v>
      </c>
    </row>
    <row r="642" spans="1:7" x14ac:dyDescent="0.3">
      <c r="A642" s="58" t="s">
        <v>1590</v>
      </c>
      <c r="B642" s="58" t="s">
        <v>1599</v>
      </c>
      <c r="C642" s="58" t="s">
        <v>1603</v>
      </c>
      <c r="D642" s="58" t="s">
        <v>1594</v>
      </c>
      <c r="E642" s="58">
        <v>3</v>
      </c>
      <c r="F642" s="58">
        <v>6572</v>
      </c>
      <c r="G642" s="58">
        <v>19716</v>
      </c>
    </row>
    <row r="643" spans="1:7" x14ac:dyDescent="0.3">
      <c r="A643" s="58" t="s">
        <v>1602</v>
      </c>
      <c r="B643" s="58" t="s">
        <v>1597</v>
      </c>
      <c r="C643" s="58" t="s">
        <v>1596</v>
      </c>
      <c r="D643" s="58" t="s">
        <v>1600</v>
      </c>
      <c r="E643" s="58">
        <v>9</v>
      </c>
      <c r="F643" s="58">
        <v>4071</v>
      </c>
      <c r="G643" s="58">
        <v>36639</v>
      </c>
    </row>
    <row r="644" spans="1:7" x14ac:dyDescent="0.3">
      <c r="A644" s="58" t="s">
        <v>1604</v>
      </c>
      <c r="B644" s="58" t="s">
        <v>1589</v>
      </c>
      <c r="C644" s="58" t="s">
        <v>1596</v>
      </c>
      <c r="D644" s="58" t="s">
        <v>1600</v>
      </c>
      <c r="E644" s="58">
        <v>6</v>
      </c>
      <c r="F644" s="58">
        <v>8518</v>
      </c>
      <c r="G644" s="58">
        <v>51108</v>
      </c>
    </row>
    <row r="645" spans="1:7" x14ac:dyDescent="0.3">
      <c r="A645" s="58" t="s">
        <v>1593</v>
      </c>
      <c r="B645" s="58" t="s">
        <v>1589</v>
      </c>
      <c r="C645" s="58" t="s">
        <v>1596</v>
      </c>
      <c r="D645" s="58" t="s">
        <v>1587</v>
      </c>
      <c r="E645" s="58">
        <v>2</v>
      </c>
      <c r="F645" s="58">
        <v>3256</v>
      </c>
      <c r="G645" s="58">
        <v>6512</v>
      </c>
    </row>
    <row r="646" spans="1:7" x14ac:dyDescent="0.3">
      <c r="A646" s="58" t="s">
        <v>1602</v>
      </c>
      <c r="B646" s="58" t="s">
        <v>1599</v>
      </c>
      <c r="C646" s="58" t="s">
        <v>1603</v>
      </c>
      <c r="D646" s="58" t="s">
        <v>1594</v>
      </c>
      <c r="E646" s="58">
        <v>5</v>
      </c>
      <c r="F646" s="58">
        <v>9639</v>
      </c>
      <c r="G646" s="58">
        <v>48195</v>
      </c>
    </row>
    <row r="647" spans="1:7" x14ac:dyDescent="0.3">
      <c r="A647" s="58" t="s">
        <v>1604</v>
      </c>
      <c r="B647" s="58" t="s">
        <v>1597</v>
      </c>
      <c r="C647" s="58" t="s">
        <v>1588</v>
      </c>
      <c r="D647" s="58" t="s">
        <v>1600</v>
      </c>
      <c r="E647" s="58">
        <v>8</v>
      </c>
      <c r="F647" s="58">
        <v>6706</v>
      </c>
      <c r="G647" s="58">
        <v>53648</v>
      </c>
    </row>
    <row r="648" spans="1:7" x14ac:dyDescent="0.3">
      <c r="A648" s="58" t="s">
        <v>1602</v>
      </c>
      <c r="B648" s="58" t="s">
        <v>1589</v>
      </c>
      <c r="C648" s="58" t="s">
        <v>1588</v>
      </c>
      <c r="D648" s="58" t="s">
        <v>1598</v>
      </c>
      <c r="E648" s="58">
        <v>8</v>
      </c>
      <c r="F648" s="58">
        <v>2706</v>
      </c>
      <c r="G648" s="58">
        <v>21648</v>
      </c>
    </row>
    <row r="649" spans="1:7" x14ac:dyDescent="0.3">
      <c r="A649" s="58" t="s">
        <v>1601</v>
      </c>
      <c r="B649" s="58" t="s">
        <v>1589</v>
      </c>
      <c r="C649" s="58" t="s">
        <v>1595</v>
      </c>
      <c r="D649" s="58" t="s">
        <v>1591</v>
      </c>
      <c r="E649" s="58">
        <v>8</v>
      </c>
      <c r="F649" s="58">
        <v>28063</v>
      </c>
      <c r="G649" s="58">
        <v>224504</v>
      </c>
    </row>
    <row r="650" spans="1:7" x14ac:dyDescent="0.3">
      <c r="A650" s="58" t="s">
        <v>1601</v>
      </c>
      <c r="B650" s="58" t="s">
        <v>1605</v>
      </c>
      <c r="C650" s="58" t="s">
        <v>1592</v>
      </c>
      <c r="D650" s="58" t="s">
        <v>1600</v>
      </c>
      <c r="E650" s="58">
        <v>8</v>
      </c>
      <c r="F650" s="58">
        <v>10823</v>
      </c>
      <c r="G650" s="58">
        <v>86584</v>
      </c>
    </row>
    <row r="651" spans="1:7" x14ac:dyDescent="0.3">
      <c r="A651" s="58" t="s">
        <v>1602</v>
      </c>
      <c r="B651" s="58" t="s">
        <v>1605</v>
      </c>
      <c r="C651" s="58" t="s">
        <v>1603</v>
      </c>
      <c r="D651" s="58" t="s">
        <v>1600</v>
      </c>
      <c r="E651" s="58">
        <v>9</v>
      </c>
      <c r="F651" s="58">
        <v>19691</v>
      </c>
      <c r="G651" s="58">
        <v>177219</v>
      </c>
    </row>
    <row r="652" spans="1:7" x14ac:dyDescent="0.3">
      <c r="A652" s="58" t="s">
        <v>1602</v>
      </c>
      <c r="B652" s="58" t="s">
        <v>1605</v>
      </c>
      <c r="C652" s="58" t="s">
        <v>1588</v>
      </c>
      <c r="D652" s="58" t="s">
        <v>1606</v>
      </c>
      <c r="E652" s="58">
        <v>4</v>
      </c>
      <c r="F652" s="58">
        <v>20733</v>
      </c>
      <c r="G652" s="58">
        <v>82932</v>
      </c>
    </row>
    <row r="653" spans="1:7" x14ac:dyDescent="0.3">
      <c r="A653" s="58" t="s">
        <v>1590</v>
      </c>
      <c r="B653" s="58" t="s">
        <v>1597</v>
      </c>
      <c r="C653" s="58" t="s">
        <v>1588</v>
      </c>
      <c r="D653" s="58" t="s">
        <v>1598</v>
      </c>
      <c r="E653" s="58">
        <v>8</v>
      </c>
      <c r="F653" s="58">
        <v>28271</v>
      </c>
      <c r="G653" s="58">
        <v>226168</v>
      </c>
    </row>
    <row r="654" spans="1:7" x14ac:dyDescent="0.3">
      <c r="A654" s="58" t="s">
        <v>1601</v>
      </c>
      <c r="B654" s="58" t="s">
        <v>1605</v>
      </c>
      <c r="C654" s="58" t="s">
        <v>1595</v>
      </c>
      <c r="D654" s="58" t="s">
        <v>1594</v>
      </c>
      <c r="E654" s="58">
        <v>10</v>
      </c>
      <c r="F654" s="58">
        <v>9122</v>
      </c>
      <c r="G654" s="58">
        <v>91220</v>
      </c>
    </row>
    <row r="655" spans="1:7" x14ac:dyDescent="0.3">
      <c r="A655" s="58" t="s">
        <v>1602</v>
      </c>
      <c r="B655" s="58" t="s">
        <v>1597</v>
      </c>
      <c r="C655" s="58" t="s">
        <v>1596</v>
      </c>
      <c r="D655" s="58" t="s">
        <v>1587</v>
      </c>
      <c r="E655" s="58">
        <v>8</v>
      </c>
      <c r="F655" s="58">
        <v>18503</v>
      </c>
      <c r="G655" s="58">
        <v>148024</v>
      </c>
    </row>
    <row r="656" spans="1:7" x14ac:dyDescent="0.3">
      <c r="A656" s="58" t="s">
        <v>1601</v>
      </c>
      <c r="B656" s="58" t="s">
        <v>1605</v>
      </c>
      <c r="C656" s="58" t="s">
        <v>1596</v>
      </c>
      <c r="D656" s="58" t="s">
        <v>1587</v>
      </c>
      <c r="E656" s="58">
        <v>1</v>
      </c>
      <c r="F656" s="58">
        <v>8022</v>
      </c>
      <c r="G656" s="58">
        <v>8022</v>
      </c>
    </row>
    <row r="657" spans="1:7" x14ac:dyDescent="0.3">
      <c r="A657" s="58" t="s">
        <v>1590</v>
      </c>
      <c r="B657" s="58" t="s">
        <v>1597</v>
      </c>
      <c r="C657" s="58" t="s">
        <v>1595</v>
      </c>
      <c r="D657" s="58" t="s">
        <v>1594</v>
      </c>
      <c r="E657" s="58">
        <v>4</v>
      </c>
      <c r="F657" s="58">
        <v>28312</v>
      </c>
      <c r="G657" s="58">
        <v>113248</v>
      </c>
    </row>
    <row r="658" spans="1:7" x14ac:dyDescent="0.3">
      <c r="A658" s="58" t="s">
        <v>1601</v>
      </c>
      <c r="B658" s="58" t="s">
        <v>1599</v>
      </c>
      <c r="C658" s="58" t="s">
        <v>1595</v>
      </c>
      <c r="D658" s="58" t="s">
        <v>1594</v>
      </c>
      <c r="E658" s="58">
        <v>9</v>
      </c>
      <c r="F658" s="58">
        <v>11431</v>
      </c>
      <c r="G658" s="58">
        <v>102879</v>
      </c>
    </row>
    <row r="659" spans="1:7" x14ac:dyDescent="0.3">
      <c r="A659" s="58" t="s">
        <v>1602</v>
      </c>
      <c r="B659" s="58" t="s">
        <v>1589</v>
      </c>
      <c r="C659" s="58" t="s">
        <v>1596</v>
      </c>
      <c r="D659" s="58" t="s">
        <v>1600</v>
      </c>
      <c r="E659" s="58">
        <v>1</v>
      </c>
      <c r="F659" s="58">
        <v>13678</v>
      </c>
      <c r="G659" s="58">
        <v>13678</v>
      </c>
    </row>
    <row r="660" spans="1:7" x14ac:dyDescent="0.3">
      <c r="A660" s="58" t="s">
        <v>1604</v>
      </c>
      <c r="B660" s="58" t="s">
        <v>1605</v>
      </c>
      <c r="C660" s="58" t="s">
        <v>1596</v>
      </c>
      <c r="D660" s="58" t="s">
        <v>1594</v>
      </c>
      <c r="E660" s="58">
        <v>5</v>
      </c>
      <c r="F660" s="58">
        <v>7815</v>
      </c>
      <c r="G660" s="58">
        <v>39075</v>
      </c>
    </row>
    <row r="661" spans="1:7" x14ac:dyDescent="0.3">
      <c r="A661" s="58" t="s">
        <v>1604</v>
      </c>
      <c r="B661" s="58" t="s">
        <v>1589</v>
      </c>
      <c r="C661" s="58" t="s">
        <v>1595</v>
      </c>
      <c r="D661" s="58" t="s">
        <v>1594</v>
      </c>
      <c r="E661" s="58">
        <v>4</v>
      </c>
      <c r="F661" s="58">
        <v>7704</v>
      </c>
      <c r="G661" s="58">
        <v>30816</v>
      </c>
    </row>
    <row r="662" spans="1:7" x14ac:dyDescent="0.3">
      <c r="A662" s="58" t="s">
        <v>1593</v>
      </c>
      <c r="B662" s="58" t="s">
        <v>1605</v>
      </c>
      <c r="C662" s="58" t="s">
        <v>1596</v>
      </c>
      <c r="D662" s="58" t="s">
        <v>1587</v>
      </c>
      <c r="E662" s="58">
        <v>3</v>
      </c>
      <c r="F662" s="58">
        <v>28843</v>
      </c>
      <c r="G662" s="58">
        <v>86529</v>
      </c>
    </row>
    <row r="663" spans="1:7" x14ac:dyDescent="0.3">
      <c r="A663" s="58" t="s">
        <v>1593</v>
      </c>
      <c r="B663" s="58" t="s">
        <v>1599</v>
      </c>
      <c r="C663" s="58" t="s">
        <v>1588</v>
      </c>
      <c r="D663" s="58" t="s">
        <v>1587</v>
      </c>
      <c r="E663" s="58">
        <v>7</v>
      </c>
      <c r="F663" s="58">
        <v>6927</v>
      </c>
      <c r="G663" s="58">
        <v>48489</v>
      </c>
    </row>
    <row r="664" spans="1:7" x14ac:dyDescent="0.3">
      <c r="A664" s="58" t="s">
        <v>1602</v>
      </c>
      <c r="B664" s="58" t="s">
        <v>1597</v>
      </c>
      <c r="C664" s="58" t="s">
        <v>1592</v>
      </c>
      <c r="D664" s="58" t="s">
        <v>1600</v>
      </c>
      <c r="E664" s="58">
        <v>1</v>
      </c>
      <c r="F664" s="58">
        <v>24865</v>
      </c>
      <c r="G664" s="58">
        <v>24865</v>
      </c>
    </row>
    <row r="665" spans="1:7" x14ac:dyDescent="0.3">
      <c r="A665" s="58" t="s">
        <v>1601</v>
      </c>
      <c r="B665" s="58" t="s">
        <v>1605</v>
      </c>
      <c r="C665" s="58" t="s">
        <v>1603</v>
      </c>
      <c r="D665" s="58" t="s">
        <v>1598</v>
      </c>
      <c r="E665" s="58">
        <v>9</v>
      </c>
      <c r="F665" s="58">
        <v>2169</v>
      </c>
      <c r="G665" s="58">
        <v>19521</v>
      </c>
    </row>
    <row r="666" spans="1:7" x14ac:dyDescent="0.3">
      <c r="A666" s="58" t="s">
        <v>1590</v>
      </c>
      <c r="B666" s="58" t="s">
        <v>1599</v>
      </c>
      <c r="C666" s="58" t="s">
        <v>1592</v>
      </c>
      <c r="D666" s="58" t="s">
        <v>1594</v>
      </c>
      <c r="E666" s="58">
        <v>10</v>
      </c>
      <c r="F666" s="58">
        <v>3579</v>
      </c>
      <c r="G666" s="58">
        <v>35790</v>
      </c>
    </row>
    <row r="667" spans="1:7" x14ac:dyDescent="0.3">
      <c r="A667" s="58" t="s">
        <v>1604</v>
      </c>
      <c r="B667" s="58" t="s">
        <v>1597</v>
      </c>
      <c r="C667" s="58" t="s">
        <v>1588</v>
      </c>
      <c r="D667" s="58" t="s">
        <v>1606</v>
      </c>
      <c r="E667" s="58">
        <v>5</v>
      </c>
      <c r="F667" s="58">
        <v>19027</v>
      </c>
      <c r="G667" s="58">
        <v>95135</v>
      </c>
    </row>
    <row r="668" spans="1:7" x14ac:dyDescent="0.3">
      <c r="A668" s="58" t="s">
        <v>1593</v>
      </c>
      <c r="B668" s="58" t="s">
        <v>1597</v>
      </c>
      <c r="C668" s="58" t="s">
        <v>1588</v>
      </c>
      <c r="D668" s="58" t="s">
        <v>1587</v>
      </c>
      <c r="E668" s="58">
        <v>9</v>
      </c>
      <c r="F668" s="58">
        <v>3521</v>
      </c>
      <c r="G668" s="58">
        <v>31689</v>
      </c>
    </row>
    <row r="669" spans="1:7" x14ac:dyDescent="0.3">
      <c r="A669" s="58" t="s">
        <v>1590</v>
      </c>
      <c r="B669" s="58" t="s">
        <v>1605</v>
      </c>
      <c r="C669" s="58" t="s">
        <v>1592</v>
      </c>
      <c r="D669" s="58" t="s">
        <v>1594</v>
      </c>
      <c r="E669" s="58">
        <v>5</v>
      </c>
      <c r="F669" s="58">
        <v>12058</v>
      </c>
      <c r="G669" s="58">
        <v>60290</v>
      </c>
    </row>
    <row r="670" spans="1:7" x14ac:dyDescent="0.3">
      <c r="A670" s="58" t="s">
        <v>1602</v>
      </c>
      <c r="B670" s="58" t="s">
        <v>1599</v>
      </c>
      <c r="C670" s="58" t="s">
        <v>1596</v>
      </c>
      <c r="D670" s="58" t="s">
        <v>1606</v>
      </c>
      <c r="E670" s="58">
        <v>3</v>
      </c>
      <c r="F670" s="58">
        <v>11199</v>
      </c>
      <c r="G670" s="58">
        <v>33597</v>
      </c>
    </row>
    <row r="671" spans="1:7" x14ac:dyDescent="0.3">
      <c r="A671" s="58" t="s">
        <v>1602</v>
      </c>
      <c r="B671" s="58" t="s">
        <v>1599</v>
      </c>
      <c r="C671" s="58" t="s">
        <v>1592</v>
      </c>
      <c r="D671" s="58" t="s">
        <v>1591</v>
      </c>
      <c r="E671" s="58">
        <v>4</v>
      </c>
      <c r="F671" s="58">
        <v>5618</v>
      </c>
      <c r="G671" s="58">
        <v>22472</v>
      </c>
    </row>
    <row r="672" spans="1:7" x14ac:dyDescent="0.3">
      <c r="A672" s="58" t="s">
        <v>1602</v>
      </c>
      <c r="B672" s="58" t="s">
        <v>1605</v>
      </c>
      <c r="C672" s="58" t="s">
        <v>1592</v>
      </c>
      <c r="D672" s="58" t="s">
        <v>1587</v>
      </c>
      <c r="E672" s="58">
        <v>3</v>
      </c>
      <c r="F672" s="58">
        <v>12180</v>
      </c>
      <c r="G672" s="58">
        <v>36540</v>
      </c>
    </row>
    <row r="673" spans="1:7" x14ac:dyDescent="0.3">
      <c r="A673" s="58" t="s">
        <v>1604</v>
      </c>
      <c r="B673" s="58" t="s">
        <v>1589</v>
      </c>
      <c r="C673" s="58" t="s">
        <v>1603</v>
      </c>
      <c r="D673" s="58" t="s">
        <v>1598</v>
      </c>
      <c r="E673" s="58">
        <v>1</v>
      </c>
      <c r="F673" s="58">
        <v>7567</v>
      </c>
      <c r="G673" s="58">
        <v>7567</v>
      </c>
    </row>
    <row r="674" spans="1:7" x14ac:dyDescent="0.3">
      <c r="A674" s="58" t="s">
        <v>1604</v>
      </c>
      <c r="B674" s="58" t="s">
        <v>1605</v>
      </c>
      <c r="C674" s="58" t="s">
        <v>1603</v>
      </c>
      <c r="D674" s="58" t="s">
        <v>1598</v>
      </c>
      <c r="E674" s="58">
        <v>4</v>
      </c>
      <c r="F674" s="58">
        <v>15301</v>
      </c>
      <c r="G674" s="58">
        <v>61204</v>
      </c>
    </row>
    <row r="675" spans="1:7" x14ac:dyDescent="0.3">
      <c r="A675" s="58" t="s">
        <v>1602</v>
      </c>
      <c r="B675" s="58" t="s">
        <v>1599</v>
      </c>
      <c r="C675" s="58" t="s">
        <v>1592</v>
      </c>
      <c r="D675" s="58" t="s">
        <v>1594</v>
      </c>
      <c r="E675" s="58">
        <v>7</v>
      </c>
      <c r="F675" s="58">
        <v>15227</v>
      </c>
      <c r="G675" s="58">
        <v>106589</v>
      </c>
    </row>
    <row r="676" spans="1:7" x14ac:dyDescent="0.3">
      <c r="A676" s="58" t="s">
        <v>1590</v>
      </c>
      <c r="B676" s="58" t="s">
        <v>1589</v>
      </c>
      <c r="C676" s="58" t="s">
        <v>1596</v>
      </c>
      <c r="D676" s="58" t="s">
        <v>1591</v>
      </c>
      <c r="E676" s="58">
        <v>8</v>
      </c>
      <c r="F676" s="58">
        <v>19681</v>
      </c>
      <c r="G676" s="58">
        <v>157448</v>
      </c>
    </row>
    <row r="677" spans="1:7" x14ac:dyDescent="0.3">
      <c r="A677" s="58" t="s">
        <v>1590</v>
      </c>
      <c r="B677" s="58" t="s">
        <v>1589</v>
      </c>
      <c r="C677" s="58" t="s">
        <v>1603</v>
      </c>
      <c r="D677" s="58" t="s">
        <v>1587</v>
      </c>
      <c r="E677" s="58">
        <v>4</v>
      </c>
      <c r="F677" s="58">
        <v>14235</v>
      </c>
      <c r="G677" s="58">
        <v>56940</v>
      </c>
    </row>
    <row r="678" spans="1:7" x14ac:dyDescent="0.3">
      <c r="A678" s="58" t="s">
        <v>1602</v>
      </c>
      <c r="B678" s="58" t="s">
        <v>1605</v>
      </c>
      <c r="C678" s="58" t="s">
        <v>1603</v>
      </c>
      <c r="D678" s="58" t="s">
        <v>1587</v>
      </c>
      <c r="E678" s="58">
        <v>6</v>
      </c>
      <c r="F678" s="58">
        <v>21393</v>
      </c>
      <c r="G678" s="58">
        <v>128358</v>
      </c>
    </row>
    <row r="679" spans="1:7" x14ac:dyDescent="0.3">
      <c r="A679" s="58" t="s">
        <v>1593</v>
      </c>
      <c r="B679" s="58" t="s">
        <v>1597</v>
      </c>
      <c r="C679" s="58" t="s">
        <v>1592</v>
      </c>
      <c r="D679" s="58" t="s">
        <v>1600</v>
      </c>
      <c r="E679" s="58">
        <v>1</v>
      </c>
      <c r="F679" s="58">
        <v>19733</v>
      </c>
      <c r="G679" s="58">
        <v>19733</v>
      </c>
    </row>
    <row r="680" spans="1:7" x14ac:dyDescent="0.3">
      <c r="A680" s="58" t="s">
        <v>1602</v>
      </c>
      <c r="B680" s="58" t="s">
        <v>1605</v>
      </c>
      <c r="C680" s="58" t="s">
        <v>1596</v>
      </c>
      <c r="D680" s="58" t="s">
        <v>1587</v>
      </c>
      <c r="E680" s="58">
        <v>7</v>
      </c>
      <c r="F680" s="58">
        <v>22870</v>
      </c>
      <c r="G680" s="58">
        <v>160090</v>
      </c>
    </row>
    <row r="681" spans="1:7" x14ac:dyDescent="0.3">
      <c r="A681" s="58" t="s">
        <v>1602</v>
      </c>
      <c r="B681" s="58" t="s">
        <v>1589</v>
      </c>
      <c r="C681" s="58" t="s">
        <v>1592</v>
      </c>
      <c r="D681" s="58" t="s">
        <v>1598</v>
      </c>
      <c r="E681" s="58">
        <v>3</v>
      </c>
      <c r="F681" s="58">
        <v>13481</v>
      </c>
      <c r="G681" s="58">
        <v>40443</v>
      </c>
    </row>
    <row r="682" spans="1:7" x14ac:dyDescent="0.3">
      <c r="A682" s="58" t="s">
        <v>1602</v>
      </c>
      <c r="B682" s="58" t="s">
        <v>1599</v>
      </c>
      <c r="C682" s="58" t="s">
        <v>1596</v>
      </c>
      <c r="D682" s="58" t="s">
        <v>1598</v>
      </c>
      <c r="E682" s="58">
        <v>3</v>
      </c>
      <c r="F682" s="58">
        <v>10032</v>
      </c>
      <c r="G682" s="58">
        <v>30096</v>
      </c>
    </row>
    <row r="683" spans="1:7" x14ac:dyDescent="0.3">
      <c r="A683" s="58" t="s">
        <v>1604</v>
      </c>
      <c r="B683" s="58" t="s">
        <v>1589</v>
      </c>
      <c r="C683" s="58" t="s">
        <v>1596</v>
      </c>
      <c r="D683" s="58" t="s">
        <v>1598</v>
      </c>
      <c r="E683" s="58">
        <v>10</v>
      </c>
      <c r="F683" s="58">
        <v>12686</v>
      </c>
      <c r="G683" s="58">
        <v>126860</v>
      </c>
    </row>
    <row r="684" spans="1:7" x14ac:dyDescent="0.3">
      <c r="A684" s="58" t="s">
        <v>1593</v>
      </c>
      <c r="B684" s="58" t="s">
        <v>1599</v>
      </c>
      <c r="C684" s="58" t="s">
        <v>1603</v>
      </c>
      <c r="D684" s="58" t="s">
        <v>1594</v>
      </c>
      <c r="E684" s="58">
        <v>9</v>
      </c>
      <c r="F684" s="58">
        <v>1973</v>
      </c>
      <c r="G684" s="58">
        <v>17757</v>
      </c>
    </row>
    <row r="685" spans="1:7" x14ac:dyDescent="0.3">
      <c r="A685" s="58" t="s">
        <v>1590</v>
      </c>
      <c r="B685" s="58" t="s">
        <v>1605</v>
      </c>
      <c r="C685" s="58" t="s">
        <v>1603</v>
      </c>
      <c r="D685" s="58" t="s">
        <v>1600</v>
      </c>
      <c r="E685" s="58">
        <v>3</v>
      </c>
      <c r="F685" s="58">
        <v>14969</v>
      </c>
      <c r="G685" s="58">
        <v>44907</v>
      </c>
    </row>
    <row r="686" spans="1:7" x14ac:dyDescent="0.3">
      <c r="A686" s="58" t="s">
        <v>1601</v>
      </c>
      <c r="B686" s="58" t="s">
        <v>1599</v>
      </c>
      <c r="C686" s="58" t="s">
        <v>1588</v>
      </c>
      <c r="D686" s="58" t="s">
        <v>1598</v>
      </c>
      <c r="E686" s="58">
        <v>3</v>
      </c>
      <c r="F686" s="58">
        <v>17212</v>
      </c>
      <c r="G686" s="58">
        <v>51636</v>
      </c>
    </row>
    <row r="687" spans="1:7" x14ac:dyDescent="0.3">
      <c r="A687" s="58" t="s">
        <v>1590</v>
      </c>
      <c r="B687" s="58" t="s">
        <v>1589</v>
      </c>
      <c r="C687" s="58" t="s">
        <v>1603</v>
      </c>
      <c r="D687" s="58" t="s">
        <v>1591</v>
      </c>
      <c r="E687" s="58">
        <v>2</v>
      </c>
      <c r="F687" s="58">
        <v>10325</v>
      </c>
      <c r="G687" s="58">
        <v>20650</v>
      </c>
    </row>
    <row r="688" spans="1:7" x14ac:dyDescent="0.3">
      <c r="A688" s="58" t="s">
        <v>1590</v>
      </c>
      <c r="B688" s="58" t="s">
        <v>1599</v>
      </c>
      <c r="C688" s="58" t="s">
        <v>1592</v>
      </c>
      <c r="D688" s="58" t="s">
        <v>1600</v>
      </c>
      <c r="E688" s="58">
        <v>1</v>
      </c>
      <c r="F688" s="58">
        <v>15427</v>
      </c>
      <c r="G688" s="58">
        <v>15427</v>
      </c>
    </row>
    <row r="689" spans="1:7" x14ac:dyDescent="0.3">
      <c r="A689" s="58" t="s">
        <v>1590</v>
      </c>
      <c r="B689" s="58" t="s">
        <v>1597</v>
      </c>
      <c r="C689" s="58" t="s">
        <v>1603</v>
      </c>
      <c r="D689" s="58" t="s">
        <v>1598</v>
      </c>
      <c r="E689" s="58">
        <v>1</v>
      </c>
      <c r="F689" s="58">
        <v>5908</v>
      </c>
      <c r="G689" s="58">
        <v>5908</v>
      </c>
    </row>
    <row r="690" spans="1:7" x14ac:dyDescent="0.3">
      <c r="A690" s="58" t="s">
        <v>1602</v>
      </c>
      <c r="B690" s="58" t="s">
        <v>1589</v>
      </c>
      <c r="C690" s="58" t="s">
        <v>1603</v>
      </c>
      <c r="D690" s="58" t="s">
        <v>1587</v>
      </c>
      <c r="E690" s="58">
        <v>7</v>
      </c>
      <c r="F690" s="58">
        <v>20328</v>
      </c>
      <c r="G690" s="58">
        <v>142296</v>
      </c>
    </row>
    <row r="691" spans="1:7" x14ac:dyDescent="0.3">
      <c r="A691" s="58" t="s">
        <v>1602</v>
      </c>
      <c r="B691" s="58" t="s">
        <v>1589</v>
      </c>
      <c r="C691" s="58" t="s">
        <v>1588</v>
      </c>
      <c r="D691" s="58" t="s">
        <v>1591</v>
      </c>
      <c r="E691" s="58">
        <v>3</v>
      </c>
      <c r="F691" s="58">
        <v>27682</v>
      </c>
      <c r="G691" s="58">
        <v>83046</v>
      </c>
    </row>
    <row r="692" spans="1:7" x14ac:dyDescent="0.3">
      <c r="A692" s="58" t="s">
        <v>1601</v>
      </c>
      <c r="B692" s="58" t="s">
        <v>1589</v>
      </c>
      <c r="C692" s="58" t="s">
        <v>1588</v>
      </c>
      <c r="D692" s="58" t="s">
        <v>1594</v>
      </c>
      <c r="E692" s="58">
        <v>6</v>
      </c>
      <c r="F692" s="58">
        <v>9127</v>
      </c>
      <c r="G692" s="58">
        <v>54762</v>
      </c>
    </row>
    <row r="693" spans="1:7" x14ac:dyDescent="0.3">
      <c r="A693" s="58" t="s">
        <v>1590</v>
      </c>
      <c r="B693" s="58" t="s">
        <v>1599</v>
      </c>
      <c r="C693" s="58" t="s">
        <v>1595</v>
      </c>
      <c r="D693" s="58" t="s">
        <v>1606</v>
      </c>
      <c r="E693" s="58">
        <v>3</v>
      </c>
      <c r="F693" s="58">
        <v>4107</v>
      </c>
      <c r="G693" s="58">
        <v>12321</v>
      </c>
    </row>
    <row r="694" spans="1:7" x14ac:dyDescent="0.3">
      <c r="A694" s="58" t="s">
        <v>1604</v>
      </c>
      <c r="B694" s="58" t="s">
        <v>1589</v>
      </c>
      <c r="C694" s="58" t="s">
        <v>1596</v>
      </c>
      <c r="D694" s="58" t="s">
        <v>1594</v>
      </c>
      <c r="E694" s="58">
        <v>6</v>
      </c>
      <c r="F694" s="58">
        <v>18915</v>
      </c>
      <c r="G694" s="58">
        <v>113490</v>
      </c>
    </row>
    <row r="695" spans="1:7" x14ac:dyDescent="0.3">
      <c r="A695" s="58" t="s">
        <v>1590</v>
      </c>
      <c r="B695" s="58" t="s">
        <v>1605</v>
      </c>
      <c r="C695" s="58" t="s">
        <v>1595</v>
      </c>
      <c r="D695" s="58" t="s">
        <v>1600</v>
      </c>
      <c r="E695" s="58">
        <v>3</v>
      </c>
      <c r="F695" s="58">
        <v>5766</v>
      </c>
      <c r="G695" s="58">
        <v>17298</v>
      </c>
    </row>
    <row r="696" spans="1:7" x14ac:dyDescent="0.3">
      <c r="A696" s="58" t="s">
        <v>1602</v>
      </c>
      <c r="B696" s="58" t="s">
        <v>1599</v>
      </c>
      <c r="C696" s="58" t="s">
        <v>1592</v>
      </c>
      <c r="D696" s="58" t="s">
        <v>1606</v>
      </c>
      <c r="E696" s="58">
        <v>7</v>
      </c>
      <c r="F696" s="58">
        <v>5092</v>
      </c>
      <c r="G696" s="58">
        <v>35644</v>
      </c>
    </row>
    <row r="697" spans="1:7" x14ac:dyDescent="0.3">
      <c r="A697" s="58" t="s">
        <v>1593</v>
      </c>
      <c r="B697" s="58" t="s">
        <v>1605</v>
      </c>
      <c r="C697" s="58" t="s">
        <v>1596</v>
      </c>
      <c r="D697" s="58" t="s">
        <v>1606</v>
      </c>
      <c r="E697" s="58">
        <v>4</v>
      </c>
      <c r="F697" s="58">
        <v>23746</v>
      </c>
      <c r="G697" s="58">
        <v>94984</v>
      </c>
    </row>
    <row r="698" spans="1:7" x14ac:dyDescent="0.3">
      <c r="A698" s="58" t="s">
        <v>1593</v>
      </c>
      <c r="B698" s="58" t="s">
        <v>1599</v>
      </c>
      <c r="C698" s="58" t="s">
        <v>1596</v>
      </c>
      <c r="D698" s="58" t="s">
        <v>1600</v>
      </c>
      <c r="E698" s="58">
        <v>7</v>
      </c>
      <c r="F698" s="58">
        <v>24124</v>
      </c>
      <c r="G698" s="58">
        <v>168868</v>
      </c>
    </row>
    <row r="699" spans="1:7" x14ac:dyDescent="0.3">
      <c r="A699" s="58" t="s">
        <v>1593</v>
      </c>
      <c r="B699" s="58" t="s">
        <v>1589</v>
      </c>
      <c r="C699" s="58" t="s">
        <v>1595</v>
      </c>
      <c r="D699" s="58" t="s">
        <v>1594</v>
      </c>
      <c r="E699" s="58">
        <v>2</v>
      </c>
      <c r="F699" s="58">
        <v>15015</v>
      </c>
      <c r="G699" s="58">
        <v>30030</v>
      </c>
    </row>
    <row r="700" spans="1:7" x14ac:dyDescent="0.3">
      <c r="A700" s="58" t="s">
        <v>1602</v>
      </c>
      <c r="B700" s="58" t="s">
        <v>1589</v>
      </c>
      <c r="C700" s="58" t="s">
        <v>1588</v>
      </c>
      <c r="D700" s="58" t="s">
        <v>1598</v>
      </c>
      <c r="E700" s="58">
        <v>6</v>
      </c>
      <c r="F700" s="58">
        <v>17666</v>
      </c>
      <c r="G700" s="58">
        <v>105996</v>
      </c>
    </row>
    <row r="701" spans="1:7" x14ac:dyDescent="0.3">
      <c r="A701" s="58" t="s">
        <v>1593</v>
      </c>
      <c r="B701" s="58" t="s">
        <v>1597</v>
      </c>
      <c r="C701" s="58" t="s">
        <v>1595</v>
      </c>
      <c r="D701" s="58" t="s">
        <v>1600</v>
      </c>
      <c r="E701" s="58">
        <v>9</v>
      </c>
      <c r="F701" s="58">
        <v>18473</v>
      </c>
      <c r="G701" s="58">
        <v>166257</v>
      </c>
    </row>
    <row r="702" spans="1:7" x14ac:dyDescent="0.3">
      <c r="A702" s="58" t="s">
        <v>1590</v>
      </c>
      <c r="B702" s="58" t="s">
        <v>1599</v>
      </c>
      <c r="C702" s="58" t="s">
        <v>1596</v>
      </c>
      <c r="D702" s="58" t="s">
        <v>1598</v>
      </c>
      <c r="E702" s="58">
        <v>10</v>
      </c>
      <c r="F702" s="58">
        <v>29049</v>
      </c>
      <c r="G702" s="58">
        <v>290490</v>
      </c>
    </row>
    <row r="703" spans="1:7" x14ac:dyDescent="0.3">
      <c r="A703" s="58" t="s">
        <v>1602</v>
      </c>
      <c r="B703" s="58" t="s">
        <v>1599</v>
      </c>
      <c r="C703" s="58" t="s">
        <v>1592</v>
      </c>
      <c r="D703" s="58" t="s">
        <v>1591</v>
      </c>
      <c r="E703" s="58">
        <v>9</v>
      </c>
      <c r="F703" s="58">
        <v>14627</v>
      </c>
      <c r="G703" s="58">
        <v>131643</v>
      </c>
    </row>
    <row r="704" spans="1:7" x14ac:dyDescent="0.3">
      <c r="A704" s="58" t="s">
        <v>1602</v>
      </c>
      <c r="B704" s="58" t="s">
        <v>1597</v>
      </c>
      <c r="C704" s="58" t="s">
        <v>1595</v>
      </c>
      <c r="D704" s="58" t="s">
        <v>1591</v>
      </c>
      <c r="E704" s="58">
        <v>4</v>
      </c>
      <c r="F704" s="58">
        <v>5660</v>
      </c>
      <c r="G704" s="58">
        <v>22640</v>
      </c>
    </row>
    <row r="705" spans="1:7" x14ac:dyDescent="0.3">
      <c r="A705" s="58" t="s">
        <v>1590</v>
      </c>
      <c r="B705" s="58" t="s">
        <v>1599</v>
      </c>
      <c r="C705" s="58" t="s">
        <v>1595</v>
      </c>
      <c r="D705" s="58" t="s">
        <v>1598</v>
      </c>
      <c r="E705" s="58">
        <v>4</v>
      </c>
      <c r="F705" s="58">
        <v>2166</v>
      </c>
      <c r="G705" s="58">
        <v>8664</v>
      </c>
    </row>
    <row r="706" spans="1:7" x14ac:dyDescent="0.3">
      <c r="A706" s="58" t="s">
        <v>1601</v>
      </c>
      <c r="B706" s="58" t="s">
        <v>1597</v>
      </c>
      <c r="C706" s="58" t="s">
        <v>1588</v>
      </c>
      <c r="D706" s="58" t="s">
        <v>1598</v>
      </c>
      <c r="E706" s="58">
        <v>9</v>
      </c>
      <c r="F706" s="58">
        <v>11040</v>
      </c>
      <c r="G706" s="58">
        <v>99360</v>
      </c>
    </row>
    <row r="707" spans="1:7" x14ac:dyDescent="0.3">
      <c r="A707" s="58" t="s">
        <v>1604</v>
      </c>
      <c r="B707" s="58" t="s">
        <v>1605</v>
      </c>
      <c r="C707" s="58" t="s">
        <v>1603</v>
      </c>
      <c r="D707" s="58" t="s">
        <v>1587</v>
      </c>
      <c r="E707" s="58">
        <v>10</v>
      </c>
      <c r="F707" s="58">
        <v>19315</v>
      </c>
      <c r="G707" s="58">
        <v>193150</v>
      </c>
    </row>
    <row r="708" spans="1:7" x14ac:dyDescent="0.3">
      <c r="A708" s="58" t="s">
        <v>1601</v>
      </c>
      <c r="B708" s="58" t="s">
        <v>1605</v>
      </c>
      <c r="C708" s="58" t="s">
        <v>1588</v>
      </c>
      <c r="D708" s="58" t="s">
        <v>1591</v>
      </c>
      <c r="E708" s="58">
        <v>7</v>
      </c>
      <c r="F708" s="58">
        <v>18661</v>
      </c>
      <c r="G708" s="58">
        <v>130627</v>
      </c>
    </row>
    <row r="709" spans="1:7" x14ac:dyDescent="0.3">
      <c r="A709" s="58" t="s">
        <v>1604</v>
      </c>
      <c r="B709" s="58" t="s">
        <v>1599</v>
      </c>
      <c r="C709" s="58" t="s">
        <v>1588</v>
      </c>
      <c r="D709" s="58" t="s">
        <v>1587</v>
      </c>
      <c r="E709" s="58">
        <v>10</v>
      </c>
      <c r="F709" s="58">
        <v>13226</v>
      </c>
      <c r="G709" s="58">
        <v>132260</v>
      </c>
    </row>
    <row r="710" spans="1:7" x14ac:dyDescent="0.3">
      <c r="A710" s="58" t="s">
        <v>1593</v>
      </c>
      <c r="B710" s="58" t="s">
        <v>1589</v>
      </c>
      <c r="C710" s="58" t="s">
        <v>1595</v>
      </c>
      <c r="D710" s="58" t="s">
        <v>1591</v>
      </c>
      <c r="E710" s="58">
        <v>8</v>
      </c>
      <c r="F710" s="58">
        <v>27316</v>
      </c>
      <c r="G710" s="58">
        <v>218528</v>
      </c>
    </row>
    <row r="711" spans="1:7" x14ac:dyDescent="0.3">
      <c r="A711" s="58" t="s">
        <v>1602</v>
      </c>
      <c r="B711" s="58" t="s">
        <v>1597</v>
      </c>
      <c r="C711" s="58" t="s">
        <v>1595</v>
      </c>
      <c r="D711" s="58" t="s">
        <v>1600</v>
      </c>
      <c r="E711" s="58">
        <v>8</v>
      </c>
      <c r="F711" s="58">
        <v>14469</v>
      </c>
      <c r="G711" s="58">
        <v>115752</v>
      </c>
    </row>
    <row r="712" spans="1:7" x14ac:dyDescent="0.3">
      <c r="A712" s="58" t="s">
        <v>1604</v>
      </c>
      <c r="B712" s="58" t="s">
        <v>1589</v>
      </c>
      <c r="C712" s="58" t="s">
        <v>1603</v>
      </c>
      <c r="D712" s="58" t="s">
        <v>1591</v>
      </c>
      <c r="E712" s="58">
        <v>2</v>
      </c>
      <c r="F712" s="58">
        <v>14738</v>
      </c>
      <c r="G712" s="58">
        <v>29476</v>
      </c>
    </row>
    <row r="713" spans="1:7" x14ac:dyDescent="0.3">
      <c r="A713" s="58" t="s">
        <v>1604</v>
      </c>
      <c r="B713" s="58" t="s">
        <v>1589</v>
      </c>
      <c r="C713" s="58" t="s">
        <v>1588</v>
      </c>
      <c r="D713" s="58" t="s">
        <v>1606</v>
      </c>
      <c r="E713" s="58">
        <v>2</v>
      </c>
      <c r="F713" s="58">
        <v>11410</v>
      </c>
      <c r="G713" s="58">
        <v>22820</v>
      </c>
    </row>
    <row r="714" spans="1:7" x14ac:dyDescent="0.3">
      <c r="A714" s="58" t="s">
        <v>1602</v>
      </c>
      <c r="B714" s="58" t="s">
        <v>1605</v>
      </c>
      <c r="C714" s="58" t="s">
        <v>1595</v>
      </c>
      <c r="D714" s="58" t="s">
        <v>1594</v>
      </c>
      <c r="E714" s="58">
        <v>4</v>
      </c>
      <c r="F714" s="58">
        <v>7037</v>
      </c>
      <c r="G714" s="58">
        <v>28148</v>
      </c>
    </row>
    <row r="715" spans="1:7" x14ac:dyDescent="0.3">
      <c r="A715" s="58" t="s">
        <v>1593</v>
      </c>
      <c r="B715" s="58" t="s">
        <v>1605</v>
      </c>
      <c r="C715" s="58" t="s">
        <v>1588</v>
      </c>
      <c r="D715" s="58" t="s">
        <v>1587</v>
      </c>
      <c r="E715" s="58">
        <v>10</v>
      </c>
      <c r="F715" s="58">
        <v>15141</v>
      </c>
      <c r="G715" s="58">
        <v>151410</v>
      </c>
    </row>
    <row r="716" spans="1:7" x14ac:dyDescent="0.3">
      <c r="A716" s="58" t="s">
        <v>1601</v>
      </c>
      <c r="B716" s="58" t="s">
        <v>1599</v>
      </c>
      <c r="C716" s="58" t="s">
        <v>1595</v>
      </c>
      <c r="D716" s="58" t="s">
        <v>1594</v>
      </c>
      <c r="E716" s="58">
        <v>5</v>
      </c>
      <c r="F716" s="58">
        <v>20031</v>
      </c>
      <c r="G716" s="58">
        <v>100155</v>
      </c>
    </row>
    <row r="717" spans="1:7" x14ac:dyDescent="0.3">
      <c r="A717" s="58" t="s">
        <v>1593</v>
      </c>
      <c r="B717" s="58" t="s">
        <v>1597</v>
      </c>
      <c r="C717" s="58" t="s">
        <v>1588</v>
      </c>
      <c r="D717" s="58" t="s">
        <v>1600</v>
      </c>
      <c r="E717" s="58">
        <v>10</v>
      </c>
      <c r="F717" s="58">
        <v>21185</v>
      </c>
      <c r="G717" s="58">
        <v>211850</v>
      </c>
    </row>
    <row r="718" spans="1:7" x14ac:dyDescent="0.3">
      <c r="A718" s="58" t="s">
        <v>1593</v>
      </c>
      <c r="B718" s="58" t="s">
        <v>1597</v>
      </c>
      <c r="C718" s="58" t="s">
        <v>1588</v>
      </c>
      <c r="D718" s="58" t="s">
        <v>1600</v>
      </c>
      <c r="E718" s="58">
        <v>2</v>
      </c>
      <c r="F718" s="58">
        <v>13373</v>
      </c>
      <c r="G718" s="58">
        <v>26746</v>
      </c>
    </row>
    <row r="719" spans="1:7" x14ac:dyDescent="0.3">
      <c r="A719" s="58" t="s">
        <v>1590</v>
      </c>
      <c r="B719" s="58" t="s">
        <v>1589</v>
      </c>
      <c r="C719" s="58" t="s">
        <v>1595</v>
      </c>
      <c r="D719" s="58" t="s">
        <v>1598</v>
      </c>
      <c r="E719" s="58">
        <v>6</v>
      </c>
      <c r="F719" s="58">
        <v>29936</v>
      </c>
      <c r="G719" s="58">
        <v>179616</v>
      </c>
    </row>
    <row r="720" spans="1:7" x14ac:dyDescent="0.3">
      <c r="A720" s="58" t="s">
        <v>1604</v>
      </c>
      <c r="B720" s="58" t="s">
        <v>1589</v>
      </c>
      <c r="C720" s="58" t="s">
        <v>1592</v>
      </c>
      <c r="D720" s="58" t="s">
        <v>1600</v>
      </c>
      <c r="E720" s="58">
        <v>1</v>
      </c>
      <c r="F720" s="58">
        <v>11402</v>
      </c>
      <c r="G720" s="58">
        <v>11402</v>
      </c>
    </row>
    <row r="721" spans="1:7" x14ac:dyDescent="0.3">
      <c r="A721" s="58" t="s">
        <v>1593</v>
      </c>
      <c r="B721" s="58" t="s">
        <v>1597</v>
      </c>
      <c r="C721" s="58" t="s">
        <v>1603</v>
      </c>
      <c r="D721" s="58" t="s">
        <v>1598</v>
      </c>
      <c r="E721" s="58">
        <v>4</v>
      </c>
      <c r="F721" s="58">
        <v>18189</v>
      </c>
      <c r="G721" s="58">
        <v>72756</v>
      </c>
    </row>
    <row r="722" spans="1:7" x14ac:dyDescent="0.3">
      <c r="A722" s="58" t="s">
        <v>1593</v>
      </c>
      <c r="B722" s="58" t="s">
        <v>1589</v>
      </c>
      <c r="C722" s="58" t="s">
        <v>1596</v>
      </c>
      <c r="D722" s="58" t="s">
        <v>1598</v>
      </c>
      <c r="E722" s="58">
        <v>8</v>
      </c>
      <c r="F722" s="58">
        <v>26799</v>
      </c>
      <c r="G722" s="58">
        <v>214392</v>
      </c>
    </row>
    <row r="723" spans="1:7" x14ac:dyDescent="0.3">
      <c r="A723" s="58" t="s">
        <v>1602</v>
      </c>
      <c r="B723" s="58" t="s">
        <v>1597</v>
      </c>
      <c r="C723" s="58" t="s">
        <v>1592</v>
      </c>
      <c r="D723" s="58" t="s">
        <v>1594</v>
      </c>
      <c r="E723" s="58">
        <v>9</v>
      </c>
      <c r="F723" s="58">
        <v>23211</v>
      </c>
      <c r="G723" s="58">
        <v>208899</v>
      </c>
    </row>
    <row r="724" spans="1:7" x14ac:dyDescent="0.3">
      <c r="A724" s="58" t="s">
        <v>1602</v>
      </c>
      <c r="B724" s="58" t="s">
        <v>1605</v>
      </c>
      <c r="C724" s="58" t="s">
        <v>1595</v>
      </c>
      <c r="D724" s="58" t="s">
        <v>1591</v>
      </c>
      <c r="E724" s="58">
        <v>8</v>
      </c>
      <c r="F724" s="58">
        <v>23732</v>
      </c>
      <c r="G724" s="58">
        <v>189856</v>
      </c>
    </row>
    <row r="725" spans="1:7" x14ac:dyDescent="0.3">
      <c r="A725" s="58" t="s">
        <v>1593</v>
      </c>
      <c r="B725" s="58" t="s">
        <v>1597</v>
      </c>
      <c r="C725" s="58" t="s">
        <v>1588</v>
      </c>
      <c r="D725" s="58" t="s">
        <v>1600</v>
      </c>
      <c r="E725" s="58">
        <v>4</v>
      </c>
      <c r="F725" s="58">
        <v>7190</v>
      </c>
      <c r="G725" s="58">
        <v>28760</v>
      </c>
    </row>
    <row r="726" spans="1:7" x14ac:dyDescent="0.3">
      <c r="A726" s="58" t="s">
        <v>1602</v>
      </c>
      <c r="B726" s="58" t="s">
        <v>1589</v>
      </c>
      <c r="C726" s="58" t="s">
        <v>1596</v>
      </c>
      <c r="D726" s="58" t="s">
        <v>1600</v>
      </c>
      <c r="E726" s="58">
        <v>10</v>
      </c>
      <c r="F726" s="58">
        <v>20473</v>
      </c>
      <c r="G726" s="58">
        <v>204730</v>
      </c>
    </row>
    <row r="727" spans="1:7" x14ac:dyDescent="0.3">
      <c r="A727" s="58" t="s">
        <v>1593</v>
      </c>
      <c r="B727" s="58" t="s">
        <v>1589</v>
      </c>
      <c r="C727" s="58" t="s">
        <v>1603</v>
      </c>
      <c r="D727" s="58" t="s">
        <v>1594</v>
      </c>
      <c r="E727" s="58">
        <v>8</v>
      </c>
      <c r="F727" s="58">
        <v>8087</v>
      </c>
      <c r="G727" s="58">
        <v>64696</v>
      </c>
    </row>
    <row r="728" spans="1:7" x14ac:dyDescent="0.3">
      <c r="A728" s="58" t="s">
        <v>1590</v>
      </c>
      <c r="B728" s="58" t="s">
        <v>1605</v>
      </c>
      <c r="C728" s="58" t="s">
        <v>1603</v>
      </c>
      <c r="D728" s="58" t="s">
        <v>1591</v>
      </c>
      <c r="E728" s="58">
        <v>4</v>
      </c>
      <c r="F728" s="58">
        <v>2578</v>
      </c>
      <c r="G728" s="58">
        <v>10312</v>
      </c>
    </row>
    <row r="729" spans="1:7" x14ac:dyDescent="0.3">
      <c r="A729" s="58" t="s">
        <v>1593</v>
      </c>
      <c r="B729" s="58" t="s">
        <v>1599</v>
      </c>
      <c r="C729" s="58" t="s">
        <v>1588</v>
      </c>
      <c r="D729" s="58" t="s">
        <v>1591</v>
      </c>
      <c r="E729" s="58">
        <v>2</v>
      </c>
      <c r="F729" s="58">
        <v>29186</v>
      </c>
      <c r="G729" s="58">
        <v>58372</v>
      </c>
    </row>
    <row r="730" spans="1:7" x14ac:dyDescent="0.3">
      <c r="A730" s="58" t="s">
        <v>1601</v>
      </c>
      <c r="B730" s="58" t="s">
        <v>1597</v>
      </c>
      <c r="C730" s="58" t="s">
        <v>1592</v>
      </c>
      <c r="D730" s="58" t="s">
        <v>1600</v>
      </c>
      <c r="E730" s="58">
        <v>7</v>
      </c>
      <c r="F730" s="58">
        <v>15171</v>
      </c>
      <c r="G730" s="58">
        <v>106197</v>
      </c>
    </row>
    <row r="731" spans="1:7" x14ac:dyDescent="0.3">
      <c r="A731" s="58" t="s">
        <v>1604</v>
      </c>
      <c r="B731" s="58" t="s">
        <v>1605</v>
      </c>
      <c r="C731" s="58" t="s">
        <v>1588</v>
      </c>
      <c r="D731" s="58" t="s">
        <v>1606</v>
      </c>
      <c r="E731" s="58">
        <v>10</v>
      </c>
      <c r="F731" s="58">
        <v>22923</v>
      </c>
      <c r="G731" s="58">
        <v>229230</v>
      </c>
    </row>
    <row r="732" spans="1:7" x14ac:dyDescent="0.3">
      <c r="A732" s="58" t="s">
        <v>1593</v>
      </c>
      <c r="B732" s="58" t="s">
        <v>1589</v>
      </c>
      <c r="C732" s="58" t="s">
        <v>1592</v>
      </c>
      <c r="D732" s="58" t="s">
        <v>1587</v>
      </c>
      <c r="E732" s="58">
        <v>9</v>
      </c>
      <c r="F732" s="58">
        <v>3161</v>
      </c>
      <c r="G732" s="58">
        <v>28449</v>
      </c>
    </row>
    <row r="733" spans="1:7" x14ac:dyDescent="0.3">
      <c r="A733" s="58" t="s">
        <v>1604</v>
      </c>
      <c r="B733" s="58" t="s">
        <v>1597</v>
      </c>
      <c r="C733" s="58" t="s">
        <v>1595</v>
      </c>
      <c r="D733" s="58" t="s">
        <v>1594</v>
      </c>
      <c r="E733" s="58">
        <v>8</v>
      </c>
      <c r="F733" s="58">
        <v>7426</v>
      </c>
      <c r="G733" s="58">
        <v>59408</v>
      </c>
    </row>
    <row r="734" spans="1:7" x14ac:dyDescent="0.3">
      <c r="A734" s="58" t="s">
        <v>1602</v>
      </c>
      <c r="B734" s="58" t="s">
        <v>1589</v>
      </c>
      <c r="C734" s="58" t="s">
        <v>1595</v>
      </c>
      <c r="D734" s="58" t="s">
        <v>1606</v>
      </c>
      <c r="E734" s="58">
        <v>7</v>
      </c>
      <c r="F734" s="58">
        <v>6942</v>
      </c>
      <c r="G734" s="58">
        <v>48594</v>
      </c>
    </row>
    <row r="735" spans="1:7" x14ac:dyDescent="0.3">
      <c r="A735" s="58" t="s">
        <v>1590</v>
      </c>
      <c r="B735" s="58" t="s">
        <v>1589</v>
      </c>
      <c r="C735" s="58" t="s">
        <v>1595</v>
      </c>
      <c r="D735" s="58" t="s">
        <v>1606</v>
      </c>
      <c r="E735" s="58">
        <v>8</v>
      </c>
      <c r="F735" s="58">
        <v>11400</v>
      </c>
      <c r="G735" s="58">
        <v>91200</v>
      </c>
    </row>
    <row r="736" spans="1:7" x14ac:dyDescent="0.3">
      <c r="A736" s="58" t="s">
        <v>1602</v>
      </c>
      <c r="B736" s="58" t="s">
        <v>1599</v>
      </c>
      <c r="C736" s="58" t="s">
        <v>1592</v>
      </c>
      <c r="D736" s="58" t="s">
        <v>1606</v>
      </c>
      <c r="E736" s="58">
        <v>1</v>
      </c>
      <c r="F736" s="58">
        <v>15258</v>
      </c>
      <c r="G736" s="58">
        <v>15258</v>
      </c>
    </row>
    <row r="737" spans="1:7" x14ac:dyDescent="0.3">
      <c r="A737" s="58" t="s">
        <v>1604</v>
      </c>
      <c r="B737" s="58" t="s">
        <v>1589</v>
      </c>
      <c r="C737" s="58" t="s">
        <v>1596</v>
      </c>
      <c r="D737" s="58" t="s">
        <v>1606</v>
      </c>
      <c r="E737" s="58">
        <v>6</v>
      </c>
      <c r="F737" s="58">
        <v>6372</v>
      </c>
      <c r="G737" s="58">
        <v>38232</v>
      </c>
    </row>
    <row r="738" spans="1:7" x14ac:dyDescent="0.3">
      <c r="A738" s="58" t="s">
        <v>1604</v>
      </c>
      <c r="B738" s="58" t="s">
        <v>1589</v>
      </c>
      <c r="C738" s="58" t="s">
        <v>1592</v>
      </c>
      <c r="D738" s="58" t="s">
        <v>1587</v>
      </c>
      <c r="E738" s="58">
        <v>5</v>
      </c>
      <c r="F738" s="58">
        <v>8476</v>
      </c>
      <c r="G738" s="58">
        <v>42380</v>
      </c>
    </row>
    <row r="739" spans="1:7" x14ac:dyDescent="0.3">
      <c r="A739" s="58" t="s">
        <v>1601</v>
      </c>
      <c r="B739" s="58" t="s">
        <v>1589</v>
      </c>
      <c r="C739" s="58" t="s">
        <v>1592</v>
      </c>
      <c r="D739" s="58" t="s">
        <v>1598</v>
      </c>
      <c r="E739" s="58">
        <v>5</v>
      </c>
      <c r="F739" s="58">
        <v>15833</v>
      </c>
      <c r="G739" s="58">
        <v>79165</v>
      </c>
    </row>
    <row r="740" spans="1:7" x14ac:dyDescent="0.3">
      <c r="A740" s="58" t="s">
        <v>1604</v>
      </c>
      <c r="B740" s="58" t="s">
        <v>1597</v>
      </c>
      <c r="C740" s="58" t="s">
        <v>1596</v>
      </c>
      <c r="D740" s="58" t="s">
        <v>1600</v>
      </c>
      <c r="E740" s="58">
        <v>2</v>
      </c>
      <c r="F740" s="58">
        <v>27665</v>
      </c>
      <c r="G740" s="58">
        <v>55330</v>
      </c>
    </row>
    <row r="741" spans="1:7" x14ac:dyDescent="0.3">
      <c r="A741" s="58" t="s">
        <v>1593</v>
      </c>
      <c r="B741" s="58" t="s">
        <v>1597</v>
      </c>
      <c r="C741" s="58" t="s">
        <v>1603</v>
      </c>
      <c r="D741" s="58" t="s">
        <v>1587</v>
      </c>
      <c r="E741" s="58">
        <v>3</v>
      </c>
      <c r="F741" s="58">
        <v>24121</v>
      </c>
      <c r="G741" s="58">
        <v>72363</v>
      </c>
    </row>
    <row r="742" spans="1:7" x14ac:dyDescent="0.3">
      <c r="A742" s="58" t="s">
        <v>1604</v>
      </c>
      <c r="B742" s="58" t="s">
        <v>1599</v>
      </c>
      <c r="C742" s="58" t="s">
        <v>1603</v>
      </c>
      <c r="D742" s="58" t="s">
        <v>1594</v>
      </c>
      <c r="E742" s="58">
        <v>1</v>
      </c>
      <c r="F742" s="58">
        <v>24687</v>
      </c>
      <c r="G742" s="58">
        <v>24687</v>
      </c>
    </row>
    <row r="743" spans="1:7" x14ac:dyDescent="0.3">
      <c r="A743" s="58" t="s">
        <v>1590</v>
      </c>
      <c r="B743" s="58" t="s">
        <v>1599</v>
      </c>
      <c r="C743" s="58" t="s">
        <v>1596</v>
      </c>
      <c r="D743" s="58" t="s">
        <v>1598</v>
      </c>
      <c r="E743" s="58">
        <v>3</v>
      </c>
      <c r="F743" s="58">
        <v>21099</v>
      </c>
      <c r="G743" s="58">
        <v>63297</v>
      </c>
    </row>
    <row r="744" spans="1:7" x14ac:dyDescent="0.3">
      <c r="A744" s="58" t="s">
        <v>1604</v>
      </c>
      <c r="B744" s="58" t="s">
        <v>1599</v>
      </c>
      <c r="C744" s="58" t="s">
        <v>1595</v>
      </c>
      <c r="D744" s="58" t="s">
        <v>1587</v>
      </c>
      <c r="E744" s="58">
        <v>4</v>
      </c>
      <c r="F744" s="58">
        <v>7592</v>
      </c>
      <c r="G744" s="58">
        <v>30368</v>
      </c>
    </row>
    <row r="745" spans="1:7" x14ac:dyDescent="0.3">
      <c r="A745" s="58" t="s">
        <v>1602</v>
      </c>
      <c r="B745" s="58" t="s">
        <v>1599</v>
      </c>
      <c r="C745" s="58" t="s">
        <v>1588</v>
      </c>
      <c r="D745" s="58" t="s">
        <v>1587</v>
      </c>
      <c r="E745" s="58">
        <v>6</v>
      </c>
      <c r="F745" s="58">
        <v>5122</v>
      </c>
      <c r="G745" s="58">
        <v>30732</v>
      </c>
    </row>
    <row r="746" spans="1:7" x14ac:dyDescent="0.3">
      <c r="A746" s="58" t="s">
        <v>1590</v>
      </c>
      <c r="B746" s="58" t="s">
        <v>1589</v>
      </c>
      <c r="C746" s="58" t="s">
        <v>1596</v>
      </c>
      <c r="D746" s="58" t="s">
        <v>1606</v>
      </c>
      <c r="E746" s="58">
        <v>10</v>
      </c>
      <c r="F746" s="58">
        <v>13905</v>
      </c>
      <c r="G746" s="58">
        <v>139050</v>
      </c>
    </row>
    <row r="747" spans="1:7" x14ac:dyDescent="0.3">
      <c r="A747" s="58" t="s">
        <v>1602</v>
      </c>
      <c r="B747" s="58" t="s">
        <v>1605</v>
      </c>
      <c r="C747" s="58" t="s">
        <v>1592</v>
      </c>
      <c r="D747" s="58" t="s">
        <v>1587</v>
      </c>
      <c r="E747" s="58">
        <v>9</v>
      </c>
      <c r="F747" s="58">
        <v>25297</v>
      </c>
      <c r="G747" s="58">
        <v>227673</v>
      </c>
    </row>
    <row r="748" spans="1:7" x14ac:dyDescent="0.3">
      <c r="A748" s="58" t="s">
        <v>1601</v>
      </c>
      <c r="B748" s="58" t="s">
        <v>1597</v>
      </c>
      <c r="C748" s="58" t="s">
        <v>1596</v>
      </c>
      <c r="D748" s="58" t="s">
        <v>1598</v>
      </c>
      <c r="E748" s="58">
        <v>6</v>
      </c>
      <c r="F748" s="58">
        <v>13066</v>
      </c>
      <c r="G748" s="58">
        <v>78396</v>
      </c>
    </row>
    <row r="749" spans="1:7" x14ac:dyDescent="0.3">
      <c r="A749" s="58" t="s">
        <v>1601</v>
      </c>
      <c r="B749" s="58" t="s">
        <v>1597</v>
      </c>
      <c r="C749" s="58" t="s">
        <v>1596</v>
      </c>
      <c r="D749" s="58" t="s">
        <v>1587</v>
      </c>
      <c r="E749" s="58">
        <v>2</v>
      </c>
      <c r="F749" s="58">
        <v>29445</v>
      </c>
      <c r="G749" s="58">
        <v>58890</v>
      </c>
    </row>
    <row r="750" spans="1:7" x14ac:dyDescent="0.3">
      <c r="A750" s="58" t="s">
        <v>1604</v>
      </c>
      <c r="B750" s="58" t="s">
        <v>1605</v>
      </c>
      <c r="C750" s="58" t="s">
        <v>1588</v>
      </c>
      <c r="D750" s="58" t="s">
        <v>1598</v>
      </c>
      <c r="E750" s="58">
        <v>3</v>
      </c>
      <c r="F750" s="58">
        <v>9510</v>
      </c>
      <c r="G750" s="58">
        <v>28530</v>
      </c>
    </row>
    <row r="751" spans="1:7" x14ac:dyDescent="0.3">
      <c r="A751" s="58" t="s">
        <v>1604</v>
      </c>
      <c r="B751" s="58" t="s">
        <v>1589</v>
      </c>
      <c r="C751" s="58" t="s">
        <v>1588</v>
      </c>
      <c r="D751" s="58" t="s">
        <v>1600</v>
      </c>
      <c r="E751" s="58">
        <v>3</v>
      </c>
      <c r="F751" s="58">
        <v>15502</v>
      </c>
      <c r="G751" s="58">
        <v>46506</v>
      </c>
    </row>
    <row r="752" spans="1:7" x14ac:dyDescent="0.3">
      <c r="A752" s="58" t="s">
        <v>1590</v>
      </c>
      <c r="B752" s="58" t="s">
        <v>1605</v>
      </c>
      <c r="C752" s="58" t="s">
        <v>1588</v>
      </c>
      <c r="D752" s="58" t="s">
        <v>1598</v>
      </c>
      <c r="E752" s="58">
        <v>1</v>
      </c>
      <c r="F752" s="58">
        <v>2827</v>
      </c>
      <c r="G752" s="58">
        <v>2827</v>
      </c>
    </row>
    <row r="753" spans="1:7" x14ac:dyDescent="0.3">
      <c r="A753" s="58" t="s">
        <v>1601</v>
      </c>
      <c r="B753" s="58" t="s">
        <v>1589</v>
      </c>
      <c r="C753" s="58" t="s">
        <v>1592</v>
      </c>
      <c r="D753" s="58" t="s">
        <v>1606</v>
      </c>
      <c r="E753" s="58">
        <v>1</v>
      </c>
      <c r="F753" s="58">
        <v>25300</v>
      </c>
      <c r="G753" s="58">
        <v>25300</v>
      </c>
    </row>
    <row r="754" spans="1:7" x14ac:dyDescent="0.3">
      <c r="A754" s="58" t="s">
        <v>1590</v>
      </c>
      <c r="B754" s="58" t="s">
        <v>1597</v>
      </c>
      <c r="C754" s="58" t="s">
        <v>1596</v>
      </c>
      <c r="D754" s="58" t="s">
        <v>1606</v>
      </c>
      <c r="E754" s="58">
        <v>6</v>
      </c>
      <c r="F754" s="58">
        <v>9005</v>
      </c>
      <c r="G754" s="58">
        <v>54030</v>
      </c>
    </row>
    <row r="755" spans="1:7" x14ac:dyDescent="0.3">
      <c r="A755" s="58" t="s">
        <v>1601</v>
      </c>
      <c r="B755" s="58" t="s">
        <v>1599</v>
      </c>
      <c r="C755" s="58" t="s">
        <v>1595</v>
      </c>
      <c r="D755" s="58" t="s">
        <v>1606</v>
      </c>
      <c r="E755" s="58">
        <v>8</v>
      </c>
      <c r="F755" s="58">
        <v>4853</v>
      </c>
      <c r="G755" s="58">
        <v>38824</v>
      </c>
    </row>
    <row r="756" spans="1:7" x14ac:dyDescent="0.3">
      <c r="A756" s="58" t="s">
        <v>1602</v>
      </c>
      <c r="B756" s="58" t="s">
        <v>1597</v>
      </c>
      <c r="C756" s="58" t="s">
        <v>1596</v>
      </c>
      <c r="D756" s="58" t="s">
        <v>1594</v>
      </c>
      <c r="E756" s="58">
        <v>7</v>
      </c>
      <c r="F756" s="58">
        <v>7554</v>
      </c>
      <c r="G756" s="58">
        <v>52878</v>
      </c>
    </row>
    <row r="757" spans="1:7" x14ac:dyDescent="0.3">
      <c r="A757" s="58" t="s">
        <v>1601</v>
      </c>
      <c r="B757" s="58" t="s">
        <v>1589</v>
      </c>
      <c r="C757" s="58" t="s">
        <v>1592</v>
      </c>
      <c r="D757" s="58" t="s">
        <v>1591</v>
      </c>
      <c r="E757" s="58">
        <v>2</v>
      </c>
      <c r="F757" s="58">
        <v>20746</v>
      </c>
      <c r="G757" s="58">
        <v>41492</v>
      </c>
    </row>
    <row r="758" spans="1:7" x14ac:dyDescent="0.3">
      <c r="A758" s="58" t="s">
        <v>1604</v>
      </c>
      <c r="B758" s="58" t="s">
        <v>1599</v>
      </c>
      <c r="C758" s="58" t="s">
        <v>1603</v>
      </c>
      <c r="D758" s="58" t="s">
        <v>1591</v>
      </c>
      <c r="E758" s="58">
        <v>2</v>
      </c>
      <c r="F758" s="58">
        <v>25220</v>
      </c>
      <c r="G758" s="58">
        <v>50440</v>
      </c>
    </row>
    <row r="759" spans="1:7" x14ac:dyDescent="0.3">
      <c r="A759" s="58" t="s">
        <v>1593</v>
      </c>
      <c r="B759" s="58" t="s">
        <v>1605</v>
      </c>
      <c r="C759" s="58" t="s">
        <v>1588</v>
      </c>
      <c r="D759" s="58" t="s">
        <v>1598</v>
      </c>
      <c r="E759" s="58">
        <v>2</v>
      </c>
      <c r="F759" s="58">
        <v>28506</v>
      </c>
      <c r="G759" s="58">
        <v>57012</v>
      </c>
    </row>
    <row r="760" spans="1:7" x14ac:dyDescent="0.3">
      <c r="A760" s="58" t="s">
        <v>1602</v>
      </c>
      <c r="B760" s="58" t="s">
        <v>1605</v>
      </c>
      <c r="C760" s="58" t="s">
        <v>1603</v>
      </c>
      <c r="D760" s="58" t="s">
        <v>1591</v>
      </c>
      <c r="E760" s="58">
        <v>3</v>
      </c>
      <c r="F760" s="58">
        <v>26290</v>
      </c>
      <c r="G760" s="58">
        <v>78870</v>
      </c>
    </row>
    <row r="761" spans="1:7" x14ac:dyDescent="0.3">
      <c r="A761" s="58" t="s">
        <v>1601</v>
      </c>
      <c r="B761" s="58" t="s">
        <v>1605</v>
      </c>
      <c r="C761" s="58" t="s">
        <v>1603</v>
      </c>
      <c r="D761" s="58" t="s">
        <v>1598</v>
      </c>
      <c r="E761" s="58">
        <v>8</v>
      </c>
      <c r="F761" s="58">
        <v>3865</v>
      </c>
      <c r="G761" s="58">
        <v>30920</v>
      </c>
    </row>
    <row r="762" spans="1:7" x14ac:dyDescent="0.3">
      <c r="A762" s="58" t="s">
        <v>1602</v>
      </c>
      <c r="B762" s="58" t="s">
        <v>1597</v>
      </c>
      <c r="C762" s="58" t="s">
        <v>1596</v>
      </c>
      <c r="D762" s="58" t="s">
        <v>1598</v>
      </c>
      <c r="E762" s="58">
        <v>10</v>
      </c>
      <c r="F762" s="58">
        <v>14707</v>
      </c>
      <c r="G762" s="58">
        <v>147070</v>
      </c>
    </row>
    <row r="763" spans="1:7" x14ac:dyDescent="0.3">
      <c r="A763" s="58" t="s">
        <v>1602</v>
      </c>
      <c r="B763" s="58" t="s">
        <v>1605</v>
      </c>
      <c r="C763" s="58" t="s">
        <v>1603</v>
      </c>
      <c r="D763" s="58" t="s">
        <v>1587</v>
      </c>
      <c r="E763" s="58">
        <v>2</v>
      </c>
      <c r="F763" s="58">
        <v>29020</v>
      </c>
      <c r="G763" s="58">
        <v>58040</v>
      </c>
    </row>
    <row r="764" spans="1:7" x14ac:dyDescent="0.3">
      <c r="A764" s="58" t="s">
        <v>1590</v>
      </c>
      <c r="B764" s="58" t="s">
        <v>1597</v>
      </c>
      <c r="C764" s="58" t="s">
        <v>1595</v>
      </c>
      <c r="D764" s="58" t="s">
        <v>1598</v>
      </c>
      <c r="E764" s="58">
        <v>1</v>
      </c>
      <c r="F764" s="58">
        <v>24157</v>
      </c>
      <c r="G764" s="58">
        <v>24157</v>
      </c>
    </row>
    <row r="765" spans="1:7" x14ac:dyDescent="0.3">
      <c r="A765" s="58" t="s">
        <v>1590</v>
      </c>
      <c r="B765" s="58" t="s">
        <v>1605</v>
      </c>
      <c r="C765" s="58" t="s">
        <v>1595</v>
      </c>
      <c r="D765" s="58" t="s">
        <v>1587</v>
      </c>
      <c r="E765" s="58">
        <v>6</v>
      </c>
      <c r="F765" s="58">
        <v>8668</v>
      </c>
      <c r="G765" s="58">
        <v>52008</v>
      </c>
    </row>
    <row r="766" spans="1:7" x14ac:dyDescent="0.3">
      <c r="A766" s="58" t="s">
        <v>1604</v>
      </c>
      <c r="B766" s="58" t="s">
        <v>1597</v>
      </c>
      <c r="C766" s="58" t="s">
        <v>1595</v>
      </c>
      <c r="D766" s="58" t="s">
        <v>1600</v>
      </c>
      <c r="E766" s="58">
        <v>2</v>
      </c>
      <c r="F766" s="58">
        <v>18650</v>
      </c>
      <c r="G766" s="58">
        <v>37300</v>
      </c>
    </row>
    <row r="767" spans="1:7" x14ac:dyDescent="0.3">
      <c r="A767" s="58" t="s">
        <v>1601</v>
      </c>
      <c r="B767" s="58" t="s">
        <v>1597</v>
      </c>
      <c r="C767" s="58" t="s">
        <v>1588</v>
      </c>
      <c r="D767" s="58" t="s">
        <v>1587</v>
      </c>
      <c r="E767" s="58">
        <v>6</v>
      </c>
      <c r="F767" s="58">
        <v>25311</v>
      </c>
      <c r="G767" s="58">
        <v>151866</v>
      </c>
    </row>
    <row r="768" spans="1:7" x14ac:dyDescent="0.3">
      <c r="A768" s="58" t="s">
        <v>1601</v>
      </c>
      <c r="B768" s="58" t="s">
        <v>1589</v>
      </c>
      <c r="C768" s="58" t="s">
        <v>1595</v>
      </c>
      <c r="D768" s="58" t="s">
        <v>1598</v>
      </c>
      <c r="E768" s="58">
        <v>5</v>
      </c>
      <c r="F768" s="58">
        <v>1570</v>
      </c>
      <c r="G768" s="58">
        <v>7850</v>
      </c>
    </row>
    <row r="769" spans="1:7" x14ac:dyDescent="0.3">
      <c r="A769" s="58" t="s">
        <v>1593</v>
      </c>
      <c r="B769" s="58" t="s">
        <v>1599</v>
      </c>
      <c r="C769" s="58" t="s">
        <v>1595</v>
      </c>
      <c r="D769" s="58" t="s">
        <v>1600</v>
      </c>
      <c r="E769" s="58">
        <v>3</v>
      </c>
      <c r="F769" s="58">
        <v>17402</v>
      </c>
      <c r="G769" s="58">
        <v>52206</v>
      </c>
    </row>
    <row r="770" spans="1:7" x14ac:dyDescent="0.3">
      <c r="A770" s="58" t="s">
        <v>1593</v>
      </c>
      <c r="B770" s="58" t="s">
        <v>1599</v>
      </c>
      <c r="C770" s="58" t="s">
        <v>1603</v>
      </c>
      <c r="D770" s="58" t="s">
        <v>1591</v>
      </c>
      <c r="E770" s="58">
        <v>9</v>
      </c>
      <c r="F770" s="58">
        <v>15618</v>
      </c>
      <c r="G770" s="58">
        <v>140562</v>
      </c>
    </row>
    <row r="771" spans="1:7" x14ac:dyDescent="0.3">
      <c r="A771" s="58" t="s">
        <v>1593</v>
      </c>
      <c r="B771" s="58" t="s">
        <v>1597</v>
      </c>
      <c r="C771" s="58" t="s">
        <v>1595</v>
      </c>
      <c r="D771" s="58" t="s">
        <v>1591</v>
      </c>
      <c r="E771" s="58">
        <v>1</v>
      </c>
      <c r="F771" s="58">
        <v>6817</v>
      </c>
      <c r="G771" s="58">
        <v>6817</v>
      </c>
    </row>
    <row r="772" spans="1:7" x14ac:dyDescent="0.3">
      <c r="A772" s="58" t="s">
        <v>1601</v>
      </c>
      <c r="B772" s="58" t="s">
        <v>1605</v>
      </c>
      <c r="C772" s="58" t="s">
        <v>1595</v>
      </c>
      <c r="D772" s="58" t="s">
        <v>1598</v>
      </c>
      <c r="E772" s="58">
        <v>2</v>
      </c>
      <c r="F772" s="58">
        <v>17242</v>
      </c>
      <c r="G772" s="58">
        <v>34484</v>
      </c>
    </row>
    <row r="773" spans="1:7" x14ac:dyDescent="0.3">
      <c r="A773" s="58" t="s">
        <v>1593</v>
      </c>
      <c r="B773" s="58" t="s">
        <v>1597</v>
      </c>
      <c r="C773" s="58" t="s">
        <v>1595</v>
      </c>
      <c r="D773" s="58" t="s">
        <v>1587</v>
      </c>
      <c r="E773" s="58">
        <v>1</v>
      </c>
      <c r="F773" s="58">
        <v>12520</v>
      </c>
      <c r="G773" s="58">
        <v>12520</v>
      </c>
    </row>
    <row r="774" spans="1:7" x14ac:dyDescent="0.3">
      <c r="A774" s="58" t="s">
        <v>1602</v>
      </c>
      <c r="B774" s="58" t="s">
        <v>1605</v>
      </c>
      <c r="C774" s="58" t="s">
        <v>1588</v>
      </c>
      <c r="D774" s="58" t="s">
        <v>1594</v>
      </c>
      <c r="E774" s="58">
        <v>10</v>
      </c>
      <c r="F774" s="58">
        <v>14891</v>
      </c>
      <c r="G774" s="58">
        <v>148910</v>
      </c>
    </row>
    <row r="775" spans="1:7" x14ac:dyDescent="0.3">
      <c r="A775" s="58" t="s">
        <v>1602</v>
      </c>
      <c r="B775" s="58" t="s">
        <v>1589</v>
      </c>
      <c r="C775" s="58" t="s">
        <v>1603</v>
      </c>
      <c r="D775" s="58" t="s">
        <v>1587</v>
      </c>
      <c r="E775" s="58">
        <v>4</v>
      </c>
      <c r="F775" s="58">
        <v>2314</v>
      </c>
      <c r="G775" s="58">
        <v>9256</v>
      </c>
    </row>
    <row r="776" spans="1:7" x14ac:dyDescent="0.3">
      <c r="A776" s="58" t="s">
        <v>1601</v>
      </c>
      <c r="B776" s="58" t="s">
        <v>1605</v>
      </c>
      <c r="C776" s="58" t="s">
        <v>1595</v>
      </c>
      <c r="D776" s="58" t="s">
        <v>1594</v>
      </c>
      <c r="E776" s="58">
        <v>3</v>
      </c>
      <c r="F776" s="58">
        <v>28583</v>
      </c>
      <c r="G776" s="58">
        <v>85749</v>
      </c>
    </row>
    <row r="777" spans="1:7" x14ac:dyDescent="0.3">
      <c r="A777" s="58" t="s">
        <v>1602</v>
      </c>
      <c r="B777" s="58" t="s">
        <v>1605</v>
      </c>
      <c r="C777" s="58" t="s">
        <v>1595</v>
      </c>
      <c r="D777" s="58" t="s">
        <v>1606</v>
      </c>
      <c r="E777" s="58">
        <v>5</v>
      </c>
      <c r="F777" s="58">
        <v>25783</v>
      </c>
      <c r="G777" s="58">
        <v>128915</v>
      </c>
    </row>
    <row r="778" spans="1:7" x14ac:dyDescent="0.3">
      <c r="A778" s="58" t="s">
        <v>1590</v>
      </c>
      <c r="B778" s="58" t="s">
        <v>1599</v>
      </c>
      <c r="C778" s="58" t="s">
        <v>1588</v>
      </c>
      <c r="D778" s="58" t="s">
        <v>1600</v>
      </c>
      <c r="E778" s="58">
        <v>5</v>
      </c>
      <c r="F778" s="58">
        <v>27589</v>
      </c>
      <c r="G778" s="58">
        <v>137945</v>
      </c>
    </row>
    <row r="779" spans="1:7" x14ac:dyDescent="0.3">
      <c r="A779" s="58" t="s">
        <v>1601</v>
      </c>
      <c r="B779" s="58" t="s">
        <v>1597</v>
      </c>
      <c r="C779" s="58" t="s">
        <v>1588</v>
      </c>
      <c r="D779" s="58" t="s">
        <v>1591</v>
      </c>
      <c r="E779" s="58">
        <v>10</v>
      </c>
      <c r="F779" s="58">
        <v>10581</v>
      </c>
      <c r="G779" s="58">
        <v>105810</v>
      </c>
    </row>
    <row r="780" spans="1:7" x14ac:dyDescent="0.3">
      <c r="A780" s="58" t="s">
        <v>1604</v>
      </c>
      <c r="B780" s="58" t="s">
        <v>1605</v>
      </c>
      <c r="C780" s="58" t="s">
        <v>1596</v>
      </c>
      <c r="D780" s="58" t="s">
        <v>1587</v>
      </c>
      <c r="E780" s="58">
        <v>3</v>
      </c>
      <c r="F780" s="58">
        <v>23490</v>
      </c>
      <c r="G780" s="58">
        <v>70470</v>
      </c>
    </row>
    <row r="781" spans="1:7" x14ac:dyDescent="0.3">
      <c r="A781" s="58" t="s">
        <v>1601</v>
      </c>
      <c r="B781" s="58" t="s">
        <v>1589</v>
      </c>
      <c r="C781" s="58" t="s">
        <v>1588</v>
      </c>
      <c r="D781" s="58" t="s">
        <v>1591</v>
      </c>
      <c r="E781" s="58">
        <v>7</v>
      </c>
      <c r="F781" s="58">
        <v>10966</v>
      </c>
      <c r="G781" s="58">
        <v>76762</v>
      </c>
    </row>
    <row r="782" spans="1:7" x14ac:dyDescent="0.3">
      <c r="A782" s="58" t="s">
        <v>1601</v>
      </c>
      <c r="B782" s="58" t="s">
        <v>1597</v>
      </c>
      <c r="C782" s="58" t="s">
        <v>1603</v>
      </c>
      <c r="D782" s="58" t="s">
        <v>1591</v>
      </c>
      <c r="E782" s="58">
        <v>1</v>
      </c>
      <c r="F782" s="58">
        <v>9517</v>
      </c>
      <c r="G782" s="58">
        <v>9517</v>
      </c>
    </row>
    <row r="783" spans="1:7" x14ac:dyDescent="0.3">
      <c r="A783" s="58" t="s">
        <v>1604</v>
      </c>
      <c r="B783" s="58" t="s">
        <v>1589</v>
      </c>
      <c r="C783" s="58" t="s">
        <v>1603</v>
      </c>
      <c r="D783" s="58" t="s">
        <v>1587</v>
      </c>
      <c r="E783" s="58">
        <v>7</v>
      </c>
      <c r="F783" s="58">
        <v>1827</v>
      </c>
      <c r="G783" s="58">
        <v>12789</v>
      </c>
    </row>
    <row r="784" spans="1:7" x14ac:dyDescent="0.3">
      <c r="A784" s="58" t="s">
        <v>1593</v>
      </c>
      <c r="B784" s="58" t="s">
        <v>1605</v>
      </c>
      <c r="C784" s="58" t="s">
        <v>1595</v>
      </c>
      <c r="D784" s="58" t="s">
        <v>1600</v>
      </c>
      <c r="E784" s="58">
        <v>3</v>
      </c>
      <c r="F784" s="58">
        <v>27630</v>
      </c>
      <c r="G784" s="58">
        <v>82890</v>
      </c>
    </row>
    <row r="785" spans="1:7" x14ac:dyDescent="0.3">
      <c r="A785" s="58" t="s">
        <v>1604</v>
      </c>
      <c r="B785" s="58" t="s">
        <v>1589</v>
      </c>
      <c r="C785" s="58" t="s">
        <v>1596</v>
      </c>
      <c r="D785" s="58" t="s">
        <v>1600</v>
      </c>
      <c r="E785" s="58">
        <v>6</v>
      </c>
      <c r="F785" s="58">
        <v>7522</v>
      </c>
      <c r="G785" s="58">
        <v>45132</v>
      </c>
    </row>
    <row r="786" spans="1:7" x14ac:dyDescent="0.3">
      <c r="A786" s="58" t="s">
        <v>1601</v>
      </c>
      <c r="B786" s="58" t="s">
        <v>1589</v>
      </c>
      <c r="C786" s="58" t="s">
        <v>1603</v>
      </c>
      <c r="D786" s="58" t="s">
        <v>1598</v>
      </c>
      <c r="E786" s="58">
        <v>9</v>
      </c>
      <c r="F786" s="58">
        <v>17321</v>
      </c>
      <c r="G786" s="58">
        <v>155889</v>
      </c>
    </row>
    <row r="787" spans="1:7" x14ac:dyDescent="0.3">
      <c r="A787" s="58" t="s">
        <v>1593</v>
      </c>
      <c r="B787" s="58" t="s">
        <v>1599</v>
      </c>
      <c r="C787" s="58" t="s">
        <v>1596</v>
      </c>
      <c r="D787" s="58" t="s">
        <v>1591</v>
      </c>
      <c r="E787" s="58">
        <v>3</v>
      </c>
      <c r="F787" s="58">
        <v>19800</v>
      </c>
      <c r="G787" s="58">
        <v>59400</v>
      </c>
    </row>
    <row r="788" spans="1:7" x14ac:dyDescent="0.3">
      <c r="A788" s="58" t="s">
        <v>1593</v>
      </c>
      <c r="B788" s="58" t="s">
        <v>1589</v>
      </c>
      <c r="C788" s="58" t="s">
        <v>1588</v>
      </c>
      <c r="D788" s="58" t="s">
        <v>1587</v>
      </c>
      <c r="E788" s="58">
        <v>10</v>
      </c>
      <c r="F788" s="58">
        <v>9520</v>
      </c>
      <c r="G788" s="58">
        <v>95200</v>
      </c>
    </row>
    <row r="789" spans="1:7" x14ac:dyDescent="0.3">
      <c r="A789" s="58" t="s">
        <v>1601</v>
      </c>
      <c r="B789" s="58" t="s">
        <v>1605</v>
      </c>
      <c r="C789" s="58" t="s">
        <v>1596</v>
      </c>
      <c r="D789" s="58" t="s">
        <v>1591</v>
      </c>
      <c r="E789" s="58">
        <v>1</v>
      </c>
      <c r="F789" s="58">
        <v>15328</v>
      </c>
      <c r="G789" s="58">
        <v>15328</v>
      </c>
    </row>
    <row r="790" spans="1:7" x14ac:dyDescent="0.3">
      <c r="A790" s="58" t="s">
        <v>1590</v>
      </c>
      <c r="B790" s="58" t="s">
        <v>1597</v>
      </c>
      <c r="C790" s="58" t="s">
        <v>1595</v>
      </c>
      <c r="D790" s="58" t="s">
        <v>1591</v>
      </c>
      <c r="E790" s="58">
        <v>2</v>
      </c>
      <c r="F790" s="58">
        <v>29405</v>
      </c>
      <c r="G790" s="58">
        <v>58810</v>
      </c>
    </row>
    <row r="791" spans="1:7" x14ac:dyDescent="0.3">
      <c r="A791" s="58" t="s">
        <v>1593</v>
      </c>
      <c r="B791" s="58" t="s">
        <v>1597</v>
      </c>
      <c r="C791" s="58" t="s">
        <v>1603</v>
      </c>
      <c r="D791" s="58" t="s">
        <v>1591</v>
      </c>
      <c r="E791" s="58">
        <v>7</v>
      </c>
      <c r="F791" s="58">
        <v>29570</v>
      </c>
      <c r="G791" s="58">
        <v>206990</v>
      </c>
    </row>
    <row r="792" spans="1:7" x14ac:dyDescent="0.3">
      <c r="A792" s="58" t="s">
        <v>1590</v>
      </c>
      <c r="B792" s="58" t="s">
        <v>1599</v>
      </c>
      <c r="C792" s="58" t="s">
        <v>1588</v>
      </c>
      <c r="D792" s="58" t="s">
        <v>1598</v>
      </c>
      <c r="E792" s="58">
        <v>4</v>
      </c>
      <c r="F792" s="58">
        <v>28829</v>
      </c>
      <c r="G792" s="58">
        <v>115316</v>
      </c>
    </row>
    <row r="793" spans="1:7" x14ac:dyDescent="0.3">
      <c r="A793" s="58" t="s">
        <v>1604</v>
      </c>
      <c r="B793" s="58" t="s">
        <v>1605</v>
      </c>
      <c r="C793" s="58" t="s">
        <v>1595</v>
      </c>
      <c r="D793" s="58" t="s">
        <v>1598</v>
      </c>
      <c r="E793" s="58">
        <v>9</v>
      </c>
      <c r="F793" s="58">
        <v>23128</v>
      </c>
      <c r="G793" s="58">
        <v>208152</v>
      </c>
    </row>
    <row r="794" spans="1:7" x14ac:dyDescent="0.3">
      <c r="A794" s="58" t="s">
        <v>1593</v>
      </c>
      <c r="B794" s="58" t="s">
        <v>1597</v>
      </c>
      <c r="C794" s="58" t="s">
        <v>1603</v>
      </c>
      <c r="D794" s="58" t="s">
        <v>1600</v>
      </c>
      <c r="E794" s="58">
        <v>9</v>
      </c>
      <c r="F794" s="58">
        <v>20104</v>
      </c>
      <c r="G794" s="58">
        <v>180936</v>
      </c>
    </row>
    <row r="795" spans="1:7" x14ac:dyDescent="0.3">
      <c r="A795" s="58" t="s">
        <v>1604</v>
      </c>
      <c r="B795" s="58" t="s">
        <v>1589</v>
      </c>
      <c r="C795" s="58" t="s">
        <v>1596</v>
      </c>
      <c r="D795" s="58" t="s">
        <v>1594</v>
      </c>
      <c r="E795" s="58">
        <v>5</v>
      </c>
      <c r="F795" s="58">
        <v>9430</v>
      </c>
      <c r="G795" s="58">
        <v>47150</v>
      </c>
    </row>
    <row r="796" spans="1:7" x14ac:dyDescent="0.3">
      <c r="A796" s="58" t="s">
        <v>1593</v>
      </c>
      <c r="B796" s="58" t="s">
        <v>1605</v>
      </c>
      <c r="C796" s="58" t="s">
        <v>1595</v>
      </c>
      <c r="D796" s="58" t="s">
        <v>1594</v>
      </c>
      <c r="E796" s="58">
        <v>3</v>
      </c>
      <c r="F796" s="58">
        <v>13505</v>
      </c>
      <c r="G796" s="58">
        <v>40515</v>
      </c>
    </row>
    <row r="797" spans="1:7" x14ac:dyDescent="0.3">
      <c r="A797" s="58" t="s">
        <v>1601</v>
      </c>
      <c r="B797" s="58" t="s">
        <v>1599</v>
      </c>
      <c r="C797" s="58" t="s">
        <v>1603</v>
      </c>
      <c r="D797" s="58" t="s">
        <v>1594</v>
      </c>
      <c r="E797" s="58">
        <v>8</v>
      </c>
      <c r="F797" s="58">
        <v>18692</v>
      </c>
      <c r="G797" s="58">
        <v>149536</v>
      </c>
    </row>
    <row r="798" spans="1:7" x14ac:dyDescent="0.3">
      <c r="A798" s="58" t="s">
        <v>1602</v>
      </c>
      <c r="B798" s="58" t="s">
        <v>1597</v>
      </c>
      <c r="C798" s="58" t="s">
        <v>1595</v>
      </c>
      <c r="D798" s="58" t="s">
        <v>1594</v>
      </c>
      <c r="E798" s="58">
        <v>7</v>
      </c>
      <c r="F798" s="58">
        <v>16824</v>
      </c>
      <c r="G798" s="58">
        <v>117768</v>
      </c>
    </row>
    <row r="799" spans="1:7" x14ac:dyDescent="0.3">
      <c r="A799" s="58" t="s">
        <v>1590</v>
      </c>
      <c r="B799" s="58" t="s">
        <v>1589</v>
      </c>
      <c r="C799" s="58" t="s">
        <v>1588</v>
      </c>
      <c r="D799" s="58" t="s">
        <v>1591</v>
      </c>
      <c r="E799" s="58">
        <v>8</v>
      </c>
      <c r="F799" s="58">
        <v>13362</v>
      </c>
      <c r="G799" s="58">
        <v>106896</v>
      </c>
    </row>
    <row r="800" spans="1:7" x14ac:dyDescent="0.3">
      <c r="A800" s="58" t="s">
        <v>1604</v>
      </c>
      <c r="B800" s="58" t="s">
        <v>1605</v>
      </c>
      <c r="C800" s="58" t="s">
        <v>1588</v>
      </c>
      <c r="D800" s="58" t="s">
        <v>1594</v>
      </c>
      <c r="E800" s="58">
        <v>1</v>
      </c>
      <c r="F800" s="58">
        <v>2524</v>
      </c>
      <c r="G800" s="58">
        <v>2524</v>
      </c>
    </row>
    <row r="801" spans="1:7" x14ac:dyDescent="0.3">
      <c r="A801" s="58" t="s">
        <v>1593</v>
      </c>
      <c r="B801" s="58" t="s">
        <v>1605</v>
      </c>
      <c r="C801" s="58" t="s">
        <v>1592</v>
      </c>
      <c r="D801" s="58" t="s">
        <v>1594</v>
      </c>
      <c r="E801" s="58">
        <v>2</v>
      </c>
      <c r="F801" s="58">
        <v>7953</v>
      </c>
      <c r="G801" s="58">
        <v>15906</v>
      </c>
    </row>
    <row r="802" spans="1:7" x14ac:dyDescent="0.3">
      <c r="A802" s="58" t="s">
        <v>1604</v>
      </c>
      <c r="B802" s="58" t="s">
        <v>1599</v>
      </c>
      <c r="C802" s="58" t="s">
        <v>1596</v>
      </c>
      <c r="D802" s="58" t="s">
        <v>1591</v>
      </c>
      <c r="E802" s="58">
        <v>3</v>
      </c>
      <c r="F802" s="58">
        <v>17153</v>
      </c>
      <c r="G802" s="58">
        <v>51459</v>
      </c>
    </row>
    <row r="803" spans="1:7" x14ac:dyDescent="0.3">
      <c r="A803" s="58" t="s">
        <v>1601</v>
      </c>
      <c r="B803" s="58" t="s">
        <v>1605</v>
      </c>
      <c r="C803" s="58" t="s">
        <v>1603</v>
      </c>
      <c r="D803" s="58" t="s">
        <v>1591</v>
      </c>
      <c r="E803" s="58">
        <v>5</v>
      </c>
      <c r="F803" s="58">
        <v>24378</v>
      </c>
      <c r="G803" s="58">
        <v>121890</v>
      </c>
    </row>
    <row r="804" spans="1:7" x14ac:dyDescent="0.3">
      <c r="A804" s="58" t="s">
        <v>1601</v>
      </c>
      <c r="B804" s="58" t="s">
        <v>1599</v>
      </c>
      <c r="C804" s="58" t="s">
        <v>1603</v>
      </c>
      <c r="D804" s="58" t="s">
        <v>1594</v>
      </c>
      <c r="E804" s="58">
        <v>3</v>
      </c>
      <c r="F804" s="58">
        <v>4695</v>
      </c>
      <c r="G804" s="58">
        <v>14085</v>
      </c>
    </row>
    <row r="805" spans="1:7" x14ac:dyDescent="0.3">
      <c r="A805" s="58" t="s">
        <v>1601</v>
      </c>
      <c r="B805" s="58" t="s">
        <v>1599</v>
      </c>
      <c r="C805" s="58" t="s">
        <v>1595</v>
      </c>
      <c r="D805" s="58" t="s">
        <v>1594</v>
      </c>
      <c r="E805" s="58">
        <v>1</v>
      </c>
      <c r="F805" s="58">
        <v>2814</v>
      </c>
      <c r="G805" s="58">
        <v>2814</v>
      </c>
    </row>
    <row r="806" spans="1:7" x14ac:dyDescent="0.3">
      <c r="A806" s="58" t="s">
        <v>1602</v>
      </c>
      <c r="B806" s="58" t="s">
        <v>1589</v>
      </c>
      <c r="C806" s="58" t="s">
        <v>1596</v>
      </c>
      <c r="D806" s="58" t="s">
        <v>1600</v>
      </c>
      <c r="E806" s="58">
        <v>10</v>
      </c>
      <c r="F806" s="58">
        <v>9973</v>
      </c>
      <c r="G806" s="58">
        <v>99730</v>
      </c>
    </row>
    <row r="807" spans="1:7" x14ac:dyDescent="0.3">
      <c r="A807" s="58" t="s">
        <v>1593</v>
      </c>
      <c r="B807" s="58" t="s">
        <v>1605</v>
      </c>
      <c r="C807" s="58" t="s">
        <v>1588</v>
      </c>
      <c r="D807" s="58" t="s">
        <v>1598</v>
      </c>
      <c r="E807" s="58">
        <v>6</v>
      </c>
      <c r="F807" s="58">
        <v>12783</v>
      </c>
      <c r="G807" s="58">
        <v>76698</v>
      </c>
    </row>
    <row r="808" spans="1:7" x14ac:dyDescent="0.3">
      <c r="A808" s="58" t="s">
        <v>1590</v>
      </c>
      <c r="B808" s="58" t="s">
        <v>1605</v>
      </c>
      <c r="C808" s="58" t="s">
        <v>1592</v>
      </c>
      <c r="D808" s="58" t="s">
        <v>1606</v>
      </c>
      <c r="E808" s="58">
        <v>1</v>
      </c>
      <c r="F808" s="58">
        <v>13896</v>
      </c>
      <c r="G808" s="58">
        <v>13896</v>
      </c>
    </row>
    <row r="809" spans="1:7" x14ac:dyDescent="0.3">
      <c r="A809" s="58" t="s">
        <v>1601</v>
      </c>
      <c r="B809" s="58" t="s">
        <v>1599</v>
      </c>
      <c r="C809" s="58" t="s">
        <v>1603</v>
      </c>
      <c r="D809" s="58" t="s">
        <v>1600</v>
      </c>
      <c r="E809" s="58">
        <v>4</v>
      </c>
      <c r="F809" s="58">
        <v>10088</v>
      </c>
      <c r="G809" s="58">
        <v>40352</v>
      </c>
    </row>
    <row r="810" spans="1:7" x14ac:dyDescent="0.3">
      <c r="A810" s="58" t="s">
        <v>1601</v>
      </c>
      <c r="B810" s="58" t="s">
        <v>1597</v>
      </c>
      <c r="C810" s="58" t="s">
        <v>1592</v>
      </c>
      <c r="D810" s="58" t="s">
        <v>1594</v>
      </c>
      <c r="E810" s="58">
        <v>9</v>
      </c>
      <c r="F810" s="58">
        <v>10157</v>
      </c>
      <c r="G810" s="58">
        <v>91413</v>
      </c>
    </row>
    <row r="811" spans="1:7" x14ac:dyDescent="0.3">
      <c r="A811" s="58" t="s">
        <v>1604</v>
      </c>
      <c r="B811" s="58" t="s">
        <v>1599</v>
      </c>
      <c r="C811" s="58" t="s">
        <v>1588</v>
      </c>
      <c r="D811" s="58" t="s">
        <v>1587</v>
      </c>
      <c r="E811" s="58">
        <v>6</v>
      </c>
      <c r="F811" s="58">
        <v>20670</v>
      </c>
      <c r="G811" s="58">
        <v>124020</v>
      </c>
    </row>
    <row r="812" spans="1:7" x14ac:dyDescent="0.3">
      <c r="A812" s="58" t="s">
        <v>1590</v>
      </c>
      <c r="B812" s="58" t="s">
        <v>1605</v>
      </c>
      <c r="C812" s="58" t="s">
        <v>1596</v>
      </c>
      <c r="D812" s="58" t="s">
        <v>1606</v>
      </c>
      <c r="E812" s="58">
        <v>6</v>
      </c>
      <c r="F812" s="58">
        <v>18543</v>
      </c>
      <c r="G812" s="58">
        <v>111258</v>
      </c>
    </row>
    <row r="813" spans="1:7" x14ac:dyDescent="0.3">
      <c r="A813" s="58" t="s">
        <v>1604</v>
      </c>
      <c r="B813" s="58" t="s">
        <v>1597</v>
      </c>
      <c r="C813" s="58" t="s">
        <v>1596</v>
      </c>
      <c r="D813" s="58" t="s">
        <v>1606</v>
      </c>
      <c r="E813" s="58">
        <v>1</v>
      </c>
      <c r="F813" s="58">
        <v>21256</v>
      </c>
      <c r="G813" s="58">
        <v>21256</v>
      </c>
    </row>
    <row r="814" spans="1:7" x14ac:dyDescent="0.3">
      <c r="A814" s="58" t="s">
        <v>1590</v>
      </c>
      <c r="B814" s="58" t="s">
        <v>1597</v>
      </c>
      <c r="C814" s="58" t="s">
        <v>1603</v>
      </c>
      <c r="D814" s="58" t="s">
        <v>1600</v>
      </c>
      <c r="E814" s="58">
        <v>8</v>
      </c>
      <c r="F814" s="58">
        <v>13097</v>
      </c>
      <c r="G814" s="58">
        <v>104776</v>
      </c>
    </row>
    <row r="815" spans="1:7" x14ac:dyDescent="0.3">
      <c r="A815" s="58" t="s">
        <v>1604</v>
      </c>
      <c r="B815" s="58" t="s">
        <v>1605</v>
      </c>
      <c r="C815" s="58" t="s">
        <v>1596</v>
      </c>
      <c r="D815" s="58" t="s">
        <v>1600</v>
      </c>
      <c r="E815" s="58">
        <v>10</v>
      </c>
      <c r="F815" s="58">
        <v>23633</v>
      </c>
      <c r="G815" s="58">
        <v>236330</v>
      </c>
    </row>
    <row r="816" spans="1:7" x14ac:dyDescent="0.3">
      <c r="A816" s="58" t="s">
        <v>1593</v>
      </c>
      <c r="B816" s="58" t="s">
        <v>1605</v>
      </c>
      <c r="C816" s="58" t="s">
        <v>1595</v>
      </c>
      <c r="D816" s="58" t="s">
        <v>1600</v>
      </c>
      <c r="E816" s="58">
        <v>3</v>
      </c>
      <c r="F816" s="58">
        <v>4303</v>
      </c>
      <c r="G816" s="58">
        <v>12909</v>
      </c>
    </row>
    <row r="817" spans="1:7" x14ac:dyDescent="0.3">
      <c r="A817" s="58" t="s">
        <v>1602</v>
      </c>
      <c r="B817" s="58" t="s">
        <v>1605</v>
      </c>
      <c r="C817" s="58" t="s">
        <v>1588</v>
      </c>
      <c r="D817" s="58" t="s">
        <v>1587</v>
      </c>
      <c r="E817" s="58">
        <v>7</v>
      </c>
      <c r="F817" s="58">
        <v>6383</v>
      </c>
      <c r="G817" s="58">
        <v>44681</v>
      </c>
    </row>
    <row r="818" spans="1:7" x14ac:dyDescent="0.3">
      <c r="A818" s="58" t="s">
        <v>1590</v>
      </c>
      <c r="B818" s="58" t="s">
        <v>1597</v>
      </c>
      <c r="C818" s="58" t="s">
        <v>1588</v>
      </c>
      <c r="D818" s="58" t="s">
        <v>1600</v>
      </c>
      <c r="E818" s="58">
        <v>1</v>
      </c>
      <c r="F818" s="58">
        <v>1316</v>
      </c>
      <c r="G818" s="58">
        <v>1316</v>
      </c>
    </row>
    <row r="819" spans="1:7" x14ac:dyDescent="0.3">
      <c r="A819" s="58" t="s">
        <v>1590</v>
      </c>
      <c r="B819" s="58" t="s">
        <v>1589</v>
      </c>
      <c r="C819" s="58" t="s">
        <v>1588</v>
      </c>
      <c r="D819" s="58" t="s">
        <v>1591</v>
      </c>
      <c r="E819" s="58">
        <v>10</v>
      </c>
      <c r="F819" s="58">
        <v>2598</v>
      </c>
      <c r="G819" s="58">
        <v>25980</v>
      </c>
    </row>
    <row r="820" spans="1:7" x14ac:dyDescent="0.3">
      <c r="A820" s="58" t="s">
        <v>1590</v>
      </c>
      <c r="B820" s="58" t="s">
        <v>1597</v>
      </c>
      <c r="C820" s="58" t="s">
        <v>1592</v>
      </c>
      <c r="D820" s="58" t="s">
        <v>1600</v>
      </c>
      <c r="E820" s="58">
        <v>3</v>
      </c>
      <c r="F820" s="58">
        <v>20095</v>
      </c>
      <c r="G820" s="58">
        <v>60285</v>
      </c>
    </row>
    <row r="821" spans="1:7" x14ac:dyDescent="0.3">
      <c r="A821" s="58" t="s">
        <v>1590</v>
      </c>
      <c r="B821" s="58" t="s">
        <v>1597</v>
      </c>
      <c r="C821" s="58" t="s">
        <v>1588</v>
      </c>
      <c r="D821" s="58" t="s">
        <v>1594</v>
      </c>
      <c r="E821" s="58">
        <v>7</v>
      </c>
      <c r="F821" s="58">
        <v>12191</v>
      </c>
      <c r="G821" s="58">
        <v>85337</v>
      </c>
    </row>
    <row r="822" spans="1:7" x14ac:dyDescent="0.3">
      <c r="A822" s="58" t="s">
        <v>1602</v>
      </c>
      <c r="B822" s="58" t="s">
        <v>1597</v>
      </c>
      <c r="C822" s="58" t="s">
        <v>1595</v>
      </c>
      <c r="D822" s="58" t="s">
        <v>1587</v>
      </c>
      <c r="E822" s="58">
        <v>2</v>
      </c>
      <c r="F822" s="58">
        <v>13263</v>
      </c>
      <c r="G822" s="58">
        <v>26526</v>
      </c>
    </row>
    <row r="823" spans="1:7" x14ac:dyDescent="0.3">
      <c r="A823" s="58" t="s">
        <v>1593</v>
      </c>
      <c r="B823" s="58" t="s">
        <v>1605</v>
      </c>
      <c r="C823" s="58" t="s">
        <v>1592</v>
      </c>
      <c r="D823" s="58" t="s">
        <v>1587</v>
      </c>
      <c r="E823" s="58">
        <v>7</v>
      </c>
      <c r="F823" s="58">
        <v>10078</v>
      </c>
      <c r="G823" s="58">
        <v>70546</v>
      </c>
    </row>
    <row r="824" spans="1:7" x14ac:dyDescent="0.3">
      <c r="A824" s="58" t="s">
        <v>1590</v>
      </c>
      <c r="B824" s="58" t="s">
        <v>1599</v>
      </c>
      <c r="C824" s="58" t="s">
        <v>1603</v>
      </c>
      <c r="D824" s="58" t="s">
        <v>1600</v>
      </c>
      <c r="E824" s="58">
        <v>8</v>
      </c>
      <c r="F824" s="58">
        <v>28139</v>
      </c>
      <c r="G824" s="58">
        <v>225112</v>
      </c>
    </row>
    <row r="825" spans="1:7" x14ac:dyDescent="0.3">
      <c r="A825" s="58" t="s">
        <v>1602</v>
      </c>
      <c r="B825" s="58" t="s">
        <v>1599</v>
      </c>
      <c r="C825" s="58" t="s">
        <v>1592</v>
      </c>
      <c r="D825" s="58" t="s">
        <v>1587</v>
      </c>
      <c r="E825" s="58">
        <v>10</v>
      </c>
      <c r="F825" s="58">
        <v>13585</v>
      </c>
      <c r="G825" s="58">
        <v>135850</v>
      </c>
    </row>
    <row r="826" spans="1:7" x14ac:dyDescent="0.3">
      <c r="A826" s="58" t="s">
        <v>1602</v>
      </c>
      <c r="B826" s="58" t="s">
        <v>1597</v>
      </c>
      <c r="C826" s="58" t="s">
        <v>1603</v>
      </c>
      <c r="D826" s="58" t="s">
        <v>1598</v>
      </c>
      <c r="E826" s="58">
        <v>10</v>
      </c>
      <c r="F826" s="58">
        <v>6323</v>
      </c>
      <c r="G826" s="58">
        <v>63230</v>
      </c>
    </row>
    <row r="827" spans="1:7" x14ac:dyDescent="0.3">
      <c r="A827" s="58" t="s">
        <v>1604</v>
      </c>
      <c r="B827" s="58" t="s">
        <v>1599</v>
      </c>
      <c r="C827" s="58" t="s">
        <v>1603</v>
      </c>
      <c r="D827" s="58" t="s">
        <v>1600</v>
      </c>
      <c r="E827" s="58">
        <v>4</v>
      </c>
      <c r="F827" s="58">
        <v>29449</v>
      </c>
      <c r="G827" s="58">
        <v>117796</v>
      </c>
    </row>
    <row r="828" spans="1:7" x14ac:dyDescent="0.3">
      <c r="A828" s="58" t="s">
        <v>1604</v>
      </c>
      <c r="B828" s="58" t="s">
        <v>1605</v>
      </c>
      <c r="C828" s="58" t="s">
        <v>1588</v>
      </c>
      <c r="D828" s="58" t="s">
        <v>1598</v>
      </c>
      <c r="E828" s="58">
        <v>1</v>
      </c>
      <c r="F828" s="58">
        <v>26905</v>
      </c>
      <c r="G828" s="58">
        <v>26905</v>
      </c>
    </row>
    <row r="829" spans="1:7" x14ac:dyDescent="0.3">
      <c r="A829" s="58" t="s">
        <v>1604</v>
      </c>
      <c r="B829" s="58" t="s">
        <v>1589</v>
      </c>
      <c r="C829" s="58" t="s">
        <v>1603</v>
      </c>
      <c r="D829" s="58" t="s">
        <v>1587</v>
      </c>
      <c r="E829" s="58">
        <v>6</v>
      </c>
      <c r="F829" s="58">
        <v>20654</v>
      </c>
      <c r="G829" s="58">
        <v>123924</v>
      </c>
    </row>
    <row r="830" spans="1:7" x14ac:dyDescent="0.3">
      <c r="A830" s="58" t="s">
        <v>1590</v>
      </c>
      <c r="B830" s="58" t="s">
        <v>1605</v>
      </c>
      <c r="C830" s="58" t="s">
        <v>1592</v>
      </c>
      <c r="D830" s="58" t="s">
        <v>1587</v>
      </c>
      <c r="E830" s="58">
        <v>10</v>
      </c>
      <c r="F830" s="58">
        <v>22925</v>
      </c>
      <c r="G830" s="58">
        <v>229250</v>
      </c>
    </row>
    <row r="831" spans="1:7" x14ac:dyDescent="0.3">
      <c r="A831" s="58" t="s">
        <v>1604</v>
      </c>
      <c r="B831" s="58" t="s">
        <v>1589</v>
      </c>
      <c r="C831" s="58" t="s">
        <v>1603</v>
      </c>
      <c r="D831" s="58" t="s">
        <v>1606</v>
      </c>
      <c r="E831" s="58">
        <v>10</v>
      </c>
      <c r="F831" s="58">
        <v>2683</v>
      </c>
      <c r="G831" s="58">
        <v>26830</v>
      </c>
    </row>
    <row r="832" spans="1:7" x14ac:dyDescent="0.3">
      <c r="A832" s="58" t="s">
        <v>1590</v>
      </c>
      <c r="B832" s="58" t="s">
        <v>1597</v>
      </c>
      <c r="C832" s="58" t="s">
        <v>1595</v>
      </c>
      <c r="D832" s="58" t="s">
        <v>1598</v>
      </c>
      <c r="E832" s="58">
        <v>2</v>
      </c>
      <c r="F832" s="58">
        <v>5194</v>
      </c>
      <c r="G832" s="58">
        <v>10388</v>
      </c>
    </row>
    <row r="833" spans="1:7" x14ac:dyDescent="0.3">
      <c r="A833" s="58" t="s">
        <v>1602</v>
      </c>
      <c r="B833" s="58" t="s">
        <v>1599</v>
      </c>
      <c r="C833" s="58" t="s">
        <v>1596</v>
      </c>
      <c r="D833" s="58" t="s">
        <v>1587</v>
      </c>
      <c r="E833" s="58">
        <v>4</v>
      </c>
      <c r="F833" s="58">
        <v>29980</v>
      </c>
      <c r="G833" s="58">
        <v>119920</v>
      </c>
    </row>
    <row r="834" spans="1:7" x14ac:dyDescent="0.3">
      <c r="A834" s="58" t="s">
        <v>1604</v>
      </c>
      <c r="B834" s="58" t="s">
        <v>1605</v>
      </c>
      <c r="C834" s="58" t="s">
        <v>1596</v>
      </c>
      <c r="D834" s="58" t="s">
        <v>1598</v>
      </c>
      <c r="E834" s="58">
        <v>10</v>
      </c>
      <c r="F834" s="58">
        <v>8785</v>
      </c>
      <c r="G834" s="58">
        <v>87850</v>
      </c>
    </row>
    <row r="835" spans="1:7" x14ac:dyDescent="0.3">
      <c r="A835" s="58" t="s">
        <v>1590</v>
      </c>
      <c r="B835" s="58" t="s">
        <v>1605</v>
      </c>
      <c r="C835" s="58" t="s">
        <v>1588</v>
      </c>
      <c r="D835" s="58" t="s">
        <v>1600</v>
      </c>
      <c r="E835" s="58">
        <v>9</v>
      </c>
      <c r="F835" s="58">
        <v>29684</v>
      </c>
      <c r="G835" s="58">
        <v>267156</v>
      </c>
    </row>
    <row r="836" spans="1:7" x14ac:dyDescent="0.3">
      <c r="A836" s="58" t="s">
        <v>1602</v>
      </c>
      <c r="B836" s="58" t="s">
        <v>1605</v>
      </c>
      <c r="C836" s="58" t="s">
        <v>1592</v>
      </c>
      <c r="D836" s="58" t="s">
        <v>1594</v>
      </c>
      <c r="E836" s="58">
        <v>2</v>
      </c>
      <c r="F836" s="58">
        <v>28773</v>
      </c>
      <c r="G836" s="58">
        <v>57546</v>
      </c>
    </row>
    <row r="837" spans="1:7" x14ac:dyDescent="0.3">
      <c r="A837" s="58" t="s">
        <v>1602</v>
      </c>
      <c r="B837" s="58" t="s">
        <v>1605</v>
      </c>
      <c r="C837" s="58" t="s">
        <v>1595</v>
      </c>
      <c r="D837" s="58" t="s">
        <v>1594</v>
      </c>
      <c r="E837" s="58">
        <v>7</v>
      </c>
      <c r="F837" s="58">
        <v>13995</v>
      </c>
      <c r="G837" s="58">
        <v>97965</v>
      </c>
    </row>
    <row r="838" spans="1:7" x14ac:dyDescent="0.3">
      <c r="A838" s="58" t="s">
        <v>1601</v>
      </c>
      <c r="B838" s="58" t="s">
        <v>1599</v>
      </c>
      <c r="C838" s="58" t="s">
        <v>1592</v>
      </c>
      <c r="D838" s="58" t="s">
        <v>1587</v>
      </c>
      <c r="E838" s="58">
        <v>5</v>
      </c>
      <c r="F838" s="58">
        <v>27345</v>
      </c>
      <c r="G838" s="58">
        <v>136725</v>
      </c>
    </row>
    <row r="839" spans="1:7" x14ac:dyDescent="0.3">
      <c r="A839" s="58" t="s">
        <v>1601</v>
      </c>
      <c r="B839" s="58" t="s">
        <v>1597</v>
      </c>
      <c r="C839" s="58" t="s">
        <v>1592</v>
      </c>
      <c r="D839" s="58" t="s">
        <v>1606</v>
      </c>
      <c r="E839" s="58">
        <v>6</v>
      </c>
      <c r="F839" s="58">
        <v>2812</v>
      </c>
      <c r="G839" s="58">
        <v>16872</v>
      </c>
    </row>
    <row r="840" spans="1:7" x14ac:dyDescent="0.3">
      <c r="A840" s="58" t="s">
        <v>1601</v>
      </c>
      <c r="B840" s="58" t="s">
        <v>1597</v>
      </c>
      <c r="C840" s="58" t="s">
        <v>1595</v>
      </c>
      <c r="D840" s="58" t="s">
        <v>1606</v>
      </c>
      <c r="E840" s="58">
        <v>6</v>
      </c>
      <c r="F840" s="58">
        <v>18392</v>
      </c>
      <c r="G840" s="58">
        <v>110352</v>
      </c>
    </row>
    <row r="841" spans="1:7" x14ac:dyDescent="0.3">
      <c r="A841" s="58" t="s">
        <v>1602</v>
      </c>
      <c r="B841" s="58" t="s">
        <v>1597</v>
      </c>
      <c r="C841" s="58" t="s">
        <v>1596</v>
      </c>
      <c r="D841" s="58" t="s">
        <v>1606</v>
      </c>
      <c r="E841" s="58">
        <v>6</v>
      </c>
      <c r="F841" s="58">
        <v>1790</v>
      </c>
      <c r="G841" s="58">
        <v>10740</v>
      </c>
    </row>
    <row r="842" spans="1:7" x14ac:dyDescent="0.3">
      <c r="A842" s="58" t="s">
        <v>1593</v>
      </c>
      <c r="B842" s="58" t="s">
        <v>1597</v>
      </c>
      <c r="C842" s="58" t="s">
        <v>1603</v>
      </c>
      <c r="D842" s="58" t="s">
        <v>1600</v>
      </c>
      <c r="E842" s="58">
        <v>7</v>
      </c>
      <c r="F842" s="58">
        <v>14160</v>
      </c>
      <c r="G842" s="58">
        <v>99120</v>
      </c>
    </row>
    <row r="843" spans="1:7" x14ac:dyDescent="0.3">
      <c r="A843" s="58" t="s">
        <v>1602</v>
      </c>
      <c r="B843" s="58" t="s">
        <v>1605</v>
      </c>
      <c r="C843" s="58" t="s">
        <v>1596</v>
      </c>
      <c r="D843" s="58" t="s">
        <v>1594</v>
      </c>
      <c r="E843" s="58">
        <v>3</v>
      </c>
      <c r="F843" s="58">
        <v>1749</v>
      </c>
      <c r="G843" s="58">
        <v>5247</v>
      </c>
    </row>
    <row r="844" spans="1:7" x14ac:dyDescent="0.3">
      <c r="A844" s="58" t="s">
        <v>1601</v>
      </c>
      <c r="B844" s="58" t="s">
        <v>1589</v>
      </c>
      <c r="C844" s="58" t="s">
        <v>1588</v>
      </c>
      <c r="D844" s="58" t="s">
        <v>1606</v>
      </c>
      <c r="E844" s="58">
        <v>9</v>
      </c>
      <c r="F844" s="58">
        <v>29687</v>
      </c>
      <c r="G844" s="58">
        <v>267183</v>
      </c>
    </row>
    <row r="845" spans="1:7" x14ac:dyDescent="0.3">
      <c r="A845" s="58" t="s">
        <v>1590</v>
      </c>
      <c r="B845" s="58" t="s">
        <v>1605</v>
      </c>
      <c r="C845" s="58" t="s">
        <v>1603</v>
      </c>
      <c r="D845" s="58" t="s">
        <v>1594</v>
      </c>
      <c r="E845" s="58">
        <v>6</v>
      </c>
      <c r="F845" s="58">
        <v>4904</v>
      </c>
      <c r="G845" s="58">
        <v>29424</v>
      </c>
    </row>
    <row r="846" spans="1:7" x14ac:dyDescent="0.3">
      <c r="A846" s="58" t="s">
        <v>1601</v>
      </c>
      <c r="B846" s="58" t="s">
        <v>1597</v>
      </c>
      <c r="C846" s="58" t="s">
        <v>1595</v>
      </c>
      <c r="D846" s="58" t="s">
        <v>1594</v>
      </c>
      <c r="E846" s="58">
        <v>2</v>
      </c>
      <c r="F846" s="58">
        <v>9745</v>
      </c>
      <c r="G846" s="58">
        <v>19490</v>
      </c>
    </row>
    <row r="847" spans="1:7" x14ac:dyDescent="0.3">
      <c r="A847" s="58" t="s">
        <v>1602</v>
      </c>
      <c r="B847" s="58" t="s">
        <v>1605</v>
      </c>
      <c r="C847" s="58" t="s">
        <v>1603</v>
      </c>
      <c r="D847" s="58" t="s">
        <v>1594</v>
      </c>
      <c r="E847" s="58">
        <v>7</v>
      </c>
      <c r="F847" s="58">
        <v>24778</v>
      </c>
      <c r="G847" s="58">
        <v>173446</v>
      </c>
    </row>
    <row r="848" spans="1:7" x14ac:dyDescent="0.3">
      <c r="A848" s="58" t="s">
        <v>1590</v>
      </c>
      <c r="B848" s="58" t="s">
        <v>1599</v>
      </c>
      <c r="C848" s="58" t="s">
        <v>1603</v>
      </c>
      <c r="D848" s="58" t="s">
        <v>1591</v>
      </c>
      <c r="E848" s="58">
        <v>6</v>
      </c>
      <c r="F848" s="58">
        <v>24702</v>
      </c>
      <c r="G848" s="58">
        <v>148212</v>
      </c>
    </row>
    <row r="849" spans="1:7" x14ac:dyDescent="0.3">
      <c r="A849" s="58" t="s">
        <v>1602</v>
      </c>
      <c r="B849" s="58" t="s">
        <v>1605</v>
      </c>
      <c r="C849" s="58" t="s">
        <v>1595</v>
      </c>
      <c r="D849" s="58" t="s">
        <v>1594</v>
      </c>
      <c r="E849" s="58">
        <v>2</v>
      </c>
      <c r="F849" s="58">
        <v>16345</v>
      </c>
      <c r="G849" s="58">
        <v>32690</v>
      </c>
    </row>
    <row r="850" spans="1:7" x14ac:dyDescent="0.3">
      <c r="A850" s="58" t="s">
        <v>1593</v>
      </c>
      <c r="B850" s="58" t="s">
        <v>1599</v>
      </c>
      <c r="C850" s="58" t="s">
        <v>1592</v>
      </c>
      <c r="D850" s="58" t="s">
        <v>1598</v>
      </c>
      <c r="E850" s="58">
        <v>5</v>
      </c>
      <c r="F850" s="58">
        <v>11286</v>
      </c>
      <c r="G850" s="58">
        <v>56430</v>
      </c>
    </row>
    <row r="851" spans="1:7" x14ac:dyDescent="0.3">
      <c r="A851" s="58" t="s">
        <v>1604</v>
      </c>
      <c r="B851" s="58" t="s">
        <v>1599</v>
      </c>
      <c r="C851" s="58" t="s">
        <v>1595</v>
      </c>
      <c r="D851" s="58" t="s">
        <v>1606</v>
      </c>
      <c r="E851" s="58">
        <v>10</v>
      </c>
      <c r="F851" s="58">
        <v>5301</v>
      </c>
      <c r="G851" s="58">
        <v>53010</v>
      </c>
    </row>
    <row r="852" spans="1:7" x14ac:dyDescent="0.3">
      <c r="A852" s="58" t="s">
        <v>1601</v>
      </c>
      <c r="B852" s="58" t="s">
        <v>1599</v>
      </c>
      <c r="C852" s="58" t="s">
        <v>1596</v>
      </c>
      <c r="D852" s="58" t="s">
        <v>1600</v>
      </c>
      <c r="E852" s="58">
        <v>3</v>
      </c>
      <c r="F852" s="58">
        <v>25111</v>
      </c>
      <c r="G852" s="58">
        <v>75333</v>
      </c>
    </row>
    <row r="853" spans="1:7" x14ac:dyDescent="0.3">
      <c r="A853" s="58" t="s">
        <v>1604</v>
      </c>
      <c r="B853" s="58" t="s">
        <v>1599</v>
      </c>
      <c r="C853" s="58" t="s">
        <v>1603</v>
      </c>
      <c r="D853" s="58" t="s">
        <v>1606</v>
      </c>
      <c r="E853" s="58">
        <v>1</v>
      </c>
      <c r="F853" s="58">
        <v>9611</v>
      </c>
      <c r="G853" s="58">
        <v>9611</v>
      </c>
    </row>
    <row r="854" spans="1:7" x14ac:dyDescent="0.3">
      <c r="A854" s="58" t="s">
        <v>1590</v>
      </c>
      <c r="B854" s="58" t="s">
        <v>1605</v>
      </c>
      <c r="C854" s="58" t="s">
        <v>1603</v>
      </c>
      <c r="D854" s="58" t="s">
        <v>1591</v>
      </c>
      <c r="E854" s="58">
        <v>10</v>
      </c>
      <c r="F854" s="58">
        <v>2781</v>
      </c>
      <c r="G854" s="58">
        <v>27810</v>
      </c>
    </row>
    <row r="855" spans="1:7" x14ac:dyDescent="0.3">
      <c r="A855" s="58" t="s">
        <v>1590</v>
      </c>
      <c r="B855" s="58" t="s">
        <v>1589</v>
      </c>
      <c r="C855" s="58" t="s">
        <v>1596</v>
      </c>
      <c r="D855" s="58" t="s">
        <v>1598</v>
      </c>
      <c r="E855" s="58">
        <v>6</v>
      </c>
      <c r="F855" s="58">
        <v>2460</v>
      </c>
      <c r="G855" s="58">
        <v>14760</v>
      </c>
    </row>
    <row r="856" spans="1:7" x14ac:dyDescent="0.3">
      <c r="A856" s="58" t="s">
        <v>1590</v>
      </c>
      <c r="B856" s="58" t="s">
        <v>1589</v>
      </c>
      <c r="C856" s="58" t="s">
        <v>1603</v>
      </c>
      <c r="D856" s="58" t="s">
        <v>1587</v>
      </c>
      <c r="E856" s="58">
        <v>8</v>
      </c>
      <c r="F856" s="58">
        <v>17575</v>
      </c>
      <c r="G856" s="58">
        <v>140600</v>
      </c>
    </row>
    <row r="857" spans="1:7" x14ac:dyDescent="0.3">
      <c r="A857" s="58" t="s">
        <v>1593</v>
      </c>
      <c r="B857" s="58" t="s">
        <v>1605</v>
      </c>
      <c r="C857" s="58" t="s">
        <v>1595</v>
      </c>
      <c r="D857" s="58" t="s">
        <v>1587</v>
      </c>
      <c r="E857" s="58">
        <v>6</v>
      </c>
      <c r="F857" s="58">
        <v>9550</v>
      </c>
      <c r="G857" s="58">
        <v>57300</v>
      </c>
    </row>
    <row r="858" spans="1:7" x14ac:dyDescent="0.3">
      <c r="A858" s="58" t="s">
        <v>1590</v>
      </c>
      <c r="B858" s="58" t="s">
        <v>1605</v>
      </c>
      <c r="C858" s="58" t="s">
        <v>1595</v>
      </c>
      <c r="D858" s="58" t="s">
        <v>1600</v>
      </c>
      <c r="E858" s="58">
        <v>7</v>
      </c>
      <c r="F858" s="58">
        <v>18027</v>
      </c>
      <c r="G858" s="58">
        <v>126189</v>
      </c>
    </row>
    <row r="859" spans="1:7" x14ac:dyDescent="0.3">
      <c r="A859" s="58" t="s">
        <v>1604</v>
      </c>
      <c r="B859" s="58" t="s">
        <v>1589</v>
      </c>
      <c r="C859" s="58" t="s">
        <v>1595</v>
      </c>
      <c r="D859" s="58" t="s">
        <v>1587</v>
      </c>
      <c r="E859" s="58">
        <v>2</v>
      </c>
      <c r="F859" s="58">
        <v>28544</v>
      </c>
      <c r="G859" s="58">
        <v>57088</v>
      </c>
    </row>
    <row r="860" spans="1:7" x14ac:dyDescent="0.3">
      <c r="A860" s="58" t="s">
        <v>1604</v>
      </c>
      <c r="B860" s="58" t="s">
        <v>1599</v>
      </c>
      <c r="C860" s="58" t="s">
        <v>1603</v>
      </c>
      <c r="D860" s="58" t="s">
        <v>1591</v>
      </c>
      <c r="E860" s="58">
        <v>2</v>
      </c>
      <c r="F860" s="58">
        <v>11428</v>
      </c>
      <c r="G860" s="58">
        <v>22856</v>
      </c>
    </row>
    <row r="861" spans="1:7" x14ac:dyDescent="0.3">
      <c r="A861" s="58" t="s">
        <v>1590</v>
      </c>
      <c r="B861" s="58" t="s">
        <v>1597</v>
      </c>
      <c r="C861" s="58" t="s">
        <v>1592</v>
      </c>
      <c r="D861" s="58" t="s">
        <v>1600</v>
      </c>
      <c r="E861" s="58">
        <v>10</v>
      </c>
      <c r="F861" s="58">
        <v>27156</v>
      </c>
      <c r="G861" s="58">
        <v>271560</v>
      </c>
    </row>
    <row r="862" spans="1:7" x14ac:dyDescent="0.3">
      <c r="A862" s="58" t="s">
        <v>1590</v>
      </c>
      <c r="B862" s="58" t="s">
        <v>1597</v>
      </c>
      <c r="C862" s="58" t="s">
        <v>1588</v>
      </c>
      <c r="D862" s="58" t="s">
        <v>1598</v>
      </c>
      <c r="E862" s="58">
        <v>5</v>
      </c>
      <c r="F862" s="58">
        <v>26007</v>
      </c>
      <c r="G862" s="58">
        <v>130035</v>
      </c>
    </row>
    <row r="863" spans="1:7" x14ac:dyDescent="0.3">
      <c r="A863" s="58" t="s">
        <v>1604</v>
      </c>
      <c r="B863" s="58" t="s">
        <v>1597</v>
      </c>
      <c r="C863" s="58" t="s">
        <v>1592</v>
      </c>
      <c r="D863" s="58" t="s">
        <v>1594</v>
      </c>
      <c r="E863" s="58">
        <v>1</v>
      </c>
      <c r="F863" s="58">
        <v>23226</v>
      </c>
      <c r="G863" s="58">
        <v>23226</v>
      </c>
    </row>
    <row r="864" spans="1:7" x14ac:dyDescent="0.3">
      <c r="A864" s="58" t="s">
        <v>1602</v>
      </c>
      <c r="B864" s="58" t="s">
        <v>1605</v>
      </c>
      <c r="C864" s="58" t="s">
        <v>1595</v>
      </c>
      <c r="D864" s="58" t="s">
        <v>1598</v>
      </c>
      <c r="E864" s="58">
        <v>9</v>
      </c>
      <c r="F864" s="58">
        <v>6747</v>
      </c>
      <c r="G864" s="58">
        <v>60723</v>
      </c>
    </row>
    <row r="865" spans="1:7" x14ac:dyDescent="0.3">
      <c r="A865" s="58" t="s">
        <v>1601</v>
      </c>
      <c r="B865" s="58" t="s">
        <v>1589</v>
      </c>
      <c r="C865" s="58" t="s">
        <v>1592</v>
      </c>
      <c r="D865" s="58" t="s">
        <v>1598</v>
      </c>
      <c r="E865" s="58">
        <v>1</v>
      </c>
      <c r="F865" s="58">
        <v>8936</v>
      </c>
      <c r="G865" s="58">
        <v>8936</v>
      </c>
    </row>
    <row r="866" spans="1:7" x14ac:dyDescent="0.3">
      <c r="A866" s="58" t="s">
        <v>1593</v>
      </c>
      <c r="B866" s="58" t="s">
        <v>1605</v>
      </c>
      <c r="C866" s="58" t="s">
        <v>1588</v>
      </c>
      <c r="D866" s="58" t="s">
        <v>1591</v>
      </c>
      <c r="E866" s="58">
        <v>6</v>
      </c>
      <c r="F866" s="58">
        <v>24083</v>
      </c>
      <c r="G866" s="58">
        <v>144498</v>
      </c>
    </row>
    <row r="867" spans="1:7" x14ac:dyDescent="0.3">
      <c r="A867" s="58" t="s">
        <v>1601</v>
      </c>
      <c r="B867" s="58" t="s">
        <v>1597</v>
      </c>
      <c r="C867" s="58" t="s">
        <v>1588</v>
      </c>
      <c r="D867" s="58" t="s">
        <v>1587</v>
      </c>
      <c r="E867" s="58">
        <v>8</v>
      </c>
      <c r="F867" s="58">
        <v>10785</v>
      </c>
      <c r="G867" s="58">
        <v>86280</v>
      </c>
    </row>
    <row r="868" spans="1:7" x14ac:dyDescent="0.3">
      <c r="A868" s="58" t="s">
        <v>1602</v>
      </c>
      <c r="B868" s="58" t="s">
        <v>1605</v>
      </c>
      <c r="C868" s="58" t="s">
        <v>1596</v>
      </c>
      <c r="D868" s="58" t="s">
        <v>1598</v>
      </c>
      <c r="E868" s="58">
        <v>8</v>
      </c>
      <c r="F868" s="58">
        <v>3480</v>
      </c>
      <c r="G868" s="58">
        <v>27840</v>
      </c>
    </row>
    <row r="869" spans="1:7" x14ac:dyDescent="0.3">
      <c r="A869" s="58" t="s">
        <v>1593</v>
      </c>
      <c r="B869" s="58" t="s">
        <v>1589</v>
      </c>
      <c r="C869" s="58" t="s">
        <v>1595</v>
      </c>
      <c r="D869" s="58" t="s">
        <v>1594</v>
      </c>
      <c r="E869" s="58">
        <v>2</v>
      </c>
      <c r="F869" s="58">
        <v>12589</v>
      </c>
      <c r="G869" s="58">
        <v>25178</v>
      </c>
    </row>
    <row r="870" spans="1:7" x14ac:dyDescent="0.3">
      <c r="A870" s="58" t="s">
        <v>1590</v>
      </c>
      <c r="B870" s="58" t="s">
        <v>1605</v>
      </c>
      <c r="C870" s="58" t="s">
        <v>1588</v>
      </c>
      <c r="D870" s="58" t="s">
        <v>1587</v>
      </c>
      <c r="E870" s="58">
        <v>8</v>
      </c>
      <c r="F870" s="58">
        <v>9414</v>
      </c>
      <c r="G870" s="58">
        <v>75312</v>
      </c>
    </row>
    <row r="871" spans="1:7" x14ac:dyDescent="0.3">
      <c r="A871" s="58" t="s">
        <v>1593</v>
      </c>
      <c r="B871" s="58" t="s">
        <v>1599</v>
      </c>
      <c r="C871" s="58" t="s">
        <v>1592</v>
      </c>
      <c r="D871" s="58" t="s">
        <v>1587</v>
      </c>
      <c r="E871" s="58">
        <v>5</v>
      </c>
      <c r="F871" s="58">
        <v>4429</v>
      </c>
      <c r="G871" s="58">
        <v>22145</v>
      </c>
    </row>
    <row r="872" spans="1:7" x14ac:dyDescent="0.3">
      <c r="A872" s="58" t="s">
        <v>1590</v>
      </c>
      <c r="B872" s="58" t="s">
        <v>1599</v>
      </c>
      <c r="C872" s="58" t="s">
        <v>1603</v>
      </c>
      <c r="D872" s="58" t="s">
        <v>1591</v>
      </c>
      <c r="E872" s="58">
        <v>3</v>
      </c>
      <c r="F872" s="58">
        <v>22262</v>
      </c>
      <c r="G872" s="58">
        <v>66786</v>
      </c>
    </row>
    <row r="873" spans="1:7" x14ac:dyDescent="0.3">
      <c r="A873" s="58" t="s">
        <v>1601</v>
      </c>
      <c r="B873" s="58" t="s">
        <v>1599</v>
      </c>
      <c r="C873" s="58" t="s">
        <v>1588</v>
      </c>
      <c r="D873" s="58" t="s">
        <v>1587</v>
      </c>
      <c r="E873" s="58">
        <v>8</v>
      </c>
      <c r="F873" s="58">
        <v>11183</v>
      </c>
      <c r="G873" s="58">
        <v>89464</v>
      </c>
    </row>
    <row r="874" spans="1:7" x14ac:dyDescent="0.3">
      <c r="A874" s="58" t="s">
        <v>1602</v>
      </c>
      <c r="B874" s="58" t="s">
        <v>1597</v>
      </c>
      <c r="C874" s="58" t="s">
        <v>1603</v>
      </c>
      <c r="D874" s="58" t="s">
        <v>1594</v>
      </c>
      <c r="E874" s="58">
        <v>7</v>
      </c>
      <c r="F874" s="58">
        <v>17847</v>
      </c>
      <c r="G874" s="58">
        <v>124929</v>
      </c>
    </row>
    <row r="875" spans="1:7" x14ac:dyDescent="0.3">
      <c r="A875" s="58" t="s">
        <v>1601</v>
      </c>
      <c r="B875" s="58" t="s">
        <v>1597</v>
      </c>
      <c r="C875" s="58" t="s">
        <v>1592</v>
      </c>
      <c r="D875" s="58" t="s">
        <v>1600</v>
      </c>
      <c r="E875" s="58">
        <v>2</v>
      </c>
      <c r="F875" s="58">
        <v>11101</v>
      </c>
      <c r="G875" s="58">
        <v>22202</v>
      </c>
    </row>
    <row r="876" spans="1:7" x14ac:dyDescent="0.3">
      <c r="A876" s="58" t="s">
        <v>1604</v>
      </c>
      <c r="B876" s="58" t="s">
        <v>1589</v>
      </c>
      <c r="C876" s="58" t="s">
        <v>1592</v>
      </c>
      <c r="D876" s="58" t="s">
        <v>1606</v>
      </c>
      <c r="E876" s="58">
        <v>5</v>
      </c>
      <c r="F876" s="58">
        <v>22583</v>
      </c>
      <c r="G876" s="58">
        <v>112915</v>
      </c>
    </row>
    <row r="877" spans="1:7" x14ac:dyDescent="0.3">
      <c r="A877" s="58" t="s">
        <v>1593</v>
      </c>
      <c r="B877" s="58" t="s">
        <v>1589</v>
      </c>
      <c r="C877" s="58" t="s">
        <v>1595</v>
      </c>
      <c r="D877" s="58" t="s">
        <v>1606</v>
      </c>
      <c r="E877" s="58">
        <v>2</v>
      </c>
      <c r="F877" s="58">
        <v>22793</v>
      </c>
      <c r="G877" s="58">
        <v>45586</v>
      </c>
    </row>
    <row r="878" spans="1:7" x14ac:dyDescent="0.3">
      <c r="A878" s="58" t="s">
        <v>1593</v>
      </c>
      <c r="B878" s="58" t="s">
        <v>1599</v>
      </c>
      <c r="C878" s="58" t="s">
        <v>1592</v>
      </c>
      <c r="D878" s="58" t="s">
        <v>1594</v>
      </c>
      <c r="E878" s="58">
        <v>3</v>
      </c>
      <c r="F878" s="58">
        <v>12654</v>
      </c>
      <c r="G878" s="58">
        <v>37962</v>
      </c>
    </row>
    <row r="879" spans="1:7" x14ac:dyDescent="0.3">
      <c r="A879" s="58" t="s">
        <v>1593</v>
      </c>
      <c r="B879" s="58" t="s">
        <v>1605</v>
      </c>
      <c r="C879" s="58" t="s">
        <v>1592</v>
      </c>
      <c r="D879" s="58" t="s">
        <v>1587</v>
      </c>
      <c r="E879" s="58">
        <v>3</v>
      </c>
      <c r="F879" s="58">
        <v>26488</v>
      </c>
      <c r="G879" s="58">
        <v>79464</v>
      </c>
    </row>
    <row r="880" spans="1:7" x14ac:dyDescent="0.3">
      <c r="A880" s="58" t="s">
        <v>1593</v>
      </c>
      <c r="B880" s="58" t="s">
        <v>1597</v>
      </c>
      <c r="C880" s="58" t="s">
        <v>1603</v>
      </c>
      <c r="D880" s="58" t="s">
        <v>1594</v>
      </c>
      <c r="E880" s="58">
        <v>6</v>
      </c>
      <c r="F880" s="58">
        <v>8625</v>
      </c>
      <c r="G880" s="58">
        <v>51750</v>
      </c>
    </row>
    <row r="881" spans="1:7" x14ac:dyDescent="0.3">
      <c r="A881" s="58" t="s">
        <v>1593</v>
      </c>
      <c r="B881" s="58" t="s">
        <v>1605</v>
      </c>
      <c r="C881" s="58" t="s">
        <v>1596</v>
      </c>
      <c r="D881" s="58" t="s">
        <v>1598</v>
      </c>
      <c r="E881" s="58">
        <v>10</v>
      </c>
      <c r="F881" s="58">
        <v>27527</v>
      </c>
      <c r="G881" s="58">
        <v>275270</v>
      </c>
    </row>
    <row r="882" spans="1:7" x14ac:dyDescent="0.3">
      <c r="A882" s="58" t="s">
        <v>1604</v>
      </c>
      <c r="B882" s="58" t="s">
        <v>1597</v>
      </c>
      <c r="C882" s="58" t="s">
        <v>1603</v>
      </c>
      <c r="D882" s="58" t="s">
        <v>1598</v>
      </c>
      <c r="E882" s="58">
        <v>2</v>
      </c>
      <c r="F882" s="58">
        <v>26268</v>
      </c>
      <c r="G882" s="58">
        <v>52536</v>
      </c>
    </row>
    <row r="883" spans="1:7" x14ac:dyDescent="0.3">
      <c r="A883" s="58" t="s">
        <v>1602</v>
      </c>
      <c r="B883" s="58" t="s">
        <v>1589</v>
      </c>
      <c r="C883" s="58" t="s">
        <v>1603</v>
      </c>
      <c r="D883" s="58" t="s">
        <v>1591</v>
      </c>
      <c r="E883" s="58">
        <v>2</v>
      </c>
      <c r="F883" s="58">
        <v>3225</v>
      </c>
      <c r="G883" s="58">
        <v>6450</v>
      </c>
    </row>
    <row r="884" spans="1:7" x14ac:dyDescent="0.3">
      <c r="A884" s="58" t="s">
        <v>1590</v>
      </c>
      <c r="B884" s="58" t="s">
        <v>1589</v>
      </c>
      <c r="C884" s="58" t="s">
        <v>1596</v>
      </c>
      <c r="D884" s="58" t="s">
        <v>1606</v>
      </c>
      <c r="E884" s="58">
        <v>9</v>
      </c>
      <c r="F884" s="58">
        <v>1638</v>
      </c>
      <c r="G884" s="58">
        <v>14742</v>
      </c>
    </row>
    <row r="885" spans="1:7" x14ac:dyDescent="0.3">
      <c r="A885" s="58" t="s">
        <v>1604</v>
      </c>
      <c r="B885" s="58" t="s">
        <v>1599</v>
      </c>
      <c r="C885" s="58" t="s">
        <v>1595</v>
      </c>
      <c r="D885" s="58" t="s">
        <v>1591</v>
      </c>
      <c r="E885" s="58">
        <v>8</v>
      </c>
      <c r="F885" s="58">
        <v>15611</v>
      </c>
      <c r="G885" s="58">
        <v>124888</v>
      </c>
    </row>
    <row r="886" spans="1:7" x14ac:dyDescent="0.3">
      <c r="A886" s="58" t="s">
        <v>1593</v>
      </c>
      <c r="B886" s="58" t="s">
        <v>1597</v>
      </c>
      <c r="C886" s="58" t="s">
        <v>1592</v>
      </c>
      <c r="D886" s="58" t="s">
        <v>1598</v>
      </c>
      <c r="E886" s="58">
        <v>4</v>
      </c>
      <c r="F886" s="58">
        <v>14439</v>
      </c>
      <c r="G886" s="58">
        <v>57756</v>
      </c>
    </row>
    <row r="887" spans="1:7" x14ac:dyDescent="0.3">
      <c r="A887" s="58" t="s">
        <v>1601</v>
      </c>
      <c r="B887" s="58" t="s">
        <v>1597</v>
      </c>
      <c r="C887" s="58" t="s">
        <v>1603</v>
      </c>
      <c r="D887" s="58" t="s">
        <v>1594</v>
      </c>
      <c r="E887" s="58">
        <v>6</v>
      </c>
      <c r="F887" s="58">
        <v>15410</v>
      </c>
      <c r="G887" s="58">
        <v>92460</v>
      </c>
    </row>
    <row r="888" spans="1:7" x14ac:dyDescent="0.3">
      <c r="A888" s="58" t="s">
        <v>1601</v>
      </c>
      <c r="B888" s="58" t="s">
        <v>1589</v>
      </c>
      <c r="C888" s="58" t="s">
        <v>1588</v>
      </c>
      <c r="D888" s="58" t="s">
        <v>1606</v>
      </c>
      <c r="E888" s="58">
        <v>10</v>
      </c>
      <c r="F888" s="58">
        <v>15429</v>
      </c>
      <c r="G888" s="58">
        <v>154290</v>
      </c>
    </row>
    <row r="889" spans="1:7" x14ac:dyDescent="0.3">
      <c r="A889" s="58" t="s">
        <v>1590</v>
      </c>
      <c r="B889" s="58" t="s">
        <v>1599</v>
      </c>
      <c r="C889" s="58" t="s">
        <v>1595</v>
      </c>
      <c r="D889" s="58" t="s">
        <v>1591</v>
      </c>
      <c r="E889" s="58">
        <v>7</v>
      </c>
      <c r="F889" s="58">
        <v>21652</v>
      </c>
      <c r="G889" s="58">
        <v>151564</v>
      </c>
    </row>
    <row r="890" spans="1:7" x14ac:dyDescent="0.3">
      <c r="A890" s="58" t="s">
        <v>1590</v>
      </c>
      <c r="B890" s="58" t="s">
        <v>1599</v>
      </c>
      <c r="C890" s="58" t="s">
        <v>1592</v>
      </c>
      <c r="D890" s="58" t="s">
        <v>1606</v>
      </c>
      <c r="E890" s="58">
        <v>7</v>
      </c>
      <c r="F890" s="58">
        <v>5861</v>
      </c>
      <c r="G890" s="58">
        <v>41027</v>
      </c>
    </row>
    <row r="891" spans="1:7" x14ac:dyDescent="0.3">
      <c r="A891" s="58" t="s">
        <v>1602</v>
      </c>
      <c r="B891" s="58" t="s">
        <v>1605</v>
      </c>
      <c r="C891" s="58" t="s">
        <v>1595</v>
      </c>
      <c r="D891" s="58" t="s">
        <v>1606</v>
      </c>
      <c r="E891" s="58">
        <v>9</v>
      </c>
      <c r="F891" s="58">
        <v>16546</v>
      </c>
      <c r="G891" s="58">
        <v>148914</v>
      </c>
    </row>
    <row r="892" spans="1:7" x14ac:dyDescent="0.3">
      <c r="A892" s="58" t="s">
        <v>1590</v>
      </c>
      <c r="B892" s="58" t="s">
        <v>1589</v>
      </c>
      <c r="C892" s="58" t="s">
        <v>1588</v>
      </c>
      <c r="D892" s="58" t="s">
        <v>1587</v>
      </c>
      <c r="E892" s="58">
        <v>4</v>
      </c>
      <c r="F892" s="58">
        <v>14569</v>
      </c>
      <c r="G892" s="58">
        <v>58276</v>
      </c>
    </row>
    <row r="893" spans="1:7" x14ac:dyDescent="0.3">
      <c r="A893" s="58" t="s">
        <v>1593</v>
      </c>
      <c r="B893" s="58" t="s">
        <v>1597</v>
      </c>
      <c r="C893" s="58" t="s">
        <v>1596</v>
      </c>
      <c r="D893" s="58" t="s">
        <v>1598</v>
      </c>
      <c r="E893" s="58">
        <v>6</v>
      </c>
      <c r="F893" s="58">
        <v>24517</v>
      </c>
      <c r="G893" s="58">
        <v>147102</v>
      </c>
    </row>
    <row r="894" spans="1:7" x14ac:dyDescent="0.3">
      <c r="A894" s="58" t="s">
        <v>1601</v>
      </c>
      <c r="B894" s="58" t="s">
        <v>1605</v>
      </c>
      <c r="C894" s="58" t="s">
        <v>1595</v>
      </c>
      <c r="D894" s="58" t="s">
        <v>1598</v>
      </c>
      <c r="E894" s="58">
        <v>7</v>
      </c>
      <c r="F894" s="58">
        <v>27706</v>
      </c>
      <c r="G894" s="58">
        <v>193942</v>
      </c>
    </row>
    <row r="895" spans="1:7" x14ac:dyDescent="0.3">
      <c r="A895" s="58" t="s">
        <v>1590</v>
      </c>
      <c r="B895" s="58" t="s">
        <v>1589</v>
      </c>
      <c r="C895" s="58" t="s">
        <v>1588</v>
      </c>
      <c r="D895" s="58" t="s">
        <v>1600</v>
      </c>
      <c r="E895" s="58">
        <v>10</v>
      </c>
      <c r="F895" s="58">
        <v>18456</v>
      </c>
      <c r="G895" s="58">
        <v>184560</v>
      </c>
    </row>
    <row r="896" spans="1:7" x14ac:dyDescent="0.3">
      <c r="A896" s="58" t="s">
        <v>1604</v>
      </c>
      <c r="B896" s="58" t="s">
        <v>1599</v>
      </c>
      <c r="C896" s="58" t="s">
        <v>1592</v>
      </c>
      <c r="D896" s="58" t="s">
        <v>1594</v>
      </c>
      <c r="E896" s="58">
        <v>9</v>
      </c>
      <c r="F896" s="58">
        <v>8443</v>
      </c>
      <c r="G896" s="58">
        <v>75987</v>
      </c>
    </row>
    <row r="897" spans="1:7" x14ac:dyDescent="0.3">
      <c r="A897" s="58" t="s">
        <v>1602</v>
      </c>
      <c r="B897" s="58" t="s">
        <v>1599</v>
      </c>
      <c r="C897" s="58" t="s">
        <v>1592</v>
      </c>
      <c r="D897" s="58" t="s">
        <v>1598</v>
      </c>
      <c r="E897" s="58">
        <v>5</v>
      </c>
      <c r="F897" s="58">
        <v>25916</v>
      </c>
      <c r="G897" s="58">
        <v>129580</v>
      </c>
    </row>
    <row r="898" spans="1:7" x14ac:dyDescent="0.3">
      <c r="A898" s="58" t="s">
        <v>1604</v>
      </c>
      <c r="B898" s="58" t="s">
        <v>1605</v>
      </c>
      <c r="C898" s="58" t="s">
        <v>1592</v>
      </c>
      <c r="D898" s="58" t="s">
        <v>1587</v>
      </c>
      <c r="E898" s="58">
        <v>4</v>
      </c>
      <c r="F898" s="58">
        <v>28393</v>
      </c>
      <c r="G898" s="58">
        <v>113572</v>
      </c>
    </row>
    <row r="899" spans="1:7" x14ac:dyDescent="0.3">
      <c r="A899" s="58" t="s">
        <v>1601</v>
      </c>
      <c r="B899" s="58" t="s">
        <v>1599</v>
      </c>
      <c r="C899" s="58" t="s">
        <v>1588</v>
      </c>
      <c r="D899" s="58" t="s">
        <v>1606</v>
      </c>
      <c r="E899" s="58">
        <v>10</v>
      </c>
      <c r="F899" s="58">
        <v>2928</v>
      </c>
      <c r="G899" s="58">
        <v>29280</v>
      </c>
    </row>
    <row r="900" spans="1:7" x14ac:dyDescent="0.3">
      <c r="A900" s="58" t="s">
        <v>1601</v>
      </c>
      <c r="B900" s="58" t="s">
        <v>1599</v>
      </c>
      <c r="C900" s="58" t="s">
        <v>1588</v>
      </c>
      <c r="D900" s="58" t="s">
        <v>1587</v>
      </c>
      <c r="E900" s="58">
        <v>8</v>
      </c>
      <c r="F900" s="58">
        <v>27832</v>
      </c>
      <c r="G900" s="58">
        <v>222656</v>
      </c>
    </row>
    <row r="901" spans="1:7" x14ac:dyDescent="0.3">
      <c r="A901" s="58" t="s">
        <v>1590</v>
      </c>
      <c r="B901" s="58" t="s">
        <v>1599</v>
      </c>
      <c r="C901" s="58" t="s">
        <v>1592</v>
      </c>
      <c r="D901" s="58" t="s">
        <v>1598</v>
      </c>
      <c r="E901" s="58">
        <v>8</v>
      </c>
      <c r="F901" s="58">
        <v>3384</v>
      </c>
      <c r="G901" s="58">
        <v>27072</v>
      </c>
    </row>
    <row r="902" spans="1:7" x14ac:dyDescent="0.3">
      <c r="A902" s="58" t="s">
        <v>1593</v>
      </c>
      <c r="B902" s="58" t="s">
        <v>1597</v>
      </c>
      <c r="C902" s="58" t="s">
        <v>1592</v>
      </c>
      <c r="D902" s="58" t="s">
        <v>1606</v>
      </c>
      <c r="E902" s="58">
        <v>10</v>
      </c>
      <c r="F902" s="58">
        <v>7369</v>
      </c>
      <c r="G902" s="58">
        <v>73690</v>
      </c>
    </row>
    <row r="903" spans="1:7" x14ac:dyDescent="0.3">
      <c r="A903" s="58" t="s">
        <v>1590</v>
      </c>
      <c r="B903" s="58" t="s">
        <v>1599</v>
      </c>
      <c r="C903" s="58" t="s">
        <v>1603</v>
      </c>
      <c r="D903" s="58" t="s">
        <v>1598</v>
      </c>
      <c r="E903" s="58">
        <v>1</v>
      </c>
      <c r="F903" s="58">
        <v>26800</v>
      </c>
      <c r="G903" s="58">
        <v>26800</v>
      </c>
    </row>
    <row r="904" spans="1:7" x14ac:dyDescent="0.3">
      <c r="A904" s="58" t="s">
        <v>1604</v>
      </c>
      <c r="B904" s="58" t="s">
        <v>1599</v>
      </c>
      <c r="C904" s="58" t="s">
        <v>1592</v>
      </c>
      <c r="D904" s="58" t="s">
        <v>1594</v>
      </c>
      <c r="E904" s="58">
        <v>6</v>
      </c>
      <c r="F904" s="58">
        <v>29353</v>
      </c>
      <c r="G904" s="58">
        <v>176118</v>
      </c>
    </row>
    <row r="905" spans="1:7" x14ac:dyDescent="0.3">
      <c r="A905" s="58" t="s">
        <v>1602</v>
      </c>
      <c r="B905" s="58" t="s">
        <v>1605</v>
      </c>
      <c r="C905" s="58" t="s">
        <v>1588</v>
      </c>
      <c r="D905" s="58" t="s">
        <v>1598</v>
      </c>
      <c r="E905" s="58">
        <v>1</v>
      </c>
      <c r="F905" s="58">
        <v>25751</v>
      </c>
      <c r="G905" s="58">
        <v>25751</v>
      </c>
    </row>
    <row r="906" spans="1:7" x14ac:dyDescent="0.3">
      <c r="A906" s="58" t="s">
        <v>1593</v>
      </c>
      <c r="B906" s="58" t="s">
        <v>1589</v>
      </c>
      <c r="C906" s="58" t="s">
        <v>1592</v>
      </c>
      <c r="D906" s="58" t="s">
        <v>1598</v>
      </c>
      <c r="E906" s="58">
        <v>6</v>
      </c>
      <c r="F906" s="58">
        <v>28957</v>
      </c>
      <c r="G906" s="58">
        <v>173742</v>
      </c>
    </row>
    <row r="907" spans="1:7" x14ac:dyDescent="0.3">
      <c r="A907" s="58" t="s">
        <v>1604</v>
      </c>
      <c r="B907" s="58" t="s">
        <v>1605</v>
      </c>
      <c r="C907" s="58" t="s">
        <v>1596</v>
      </c>
      <c r="D907" s="58" t="s">
        <v>1598</v>
      </c>
      <c r="E907" s="58">
        <v>1</v>
      </c>
      <c r="F907" s="58">
        <v>6489</v>
      </c>
      <c r="G907" s="58">
        <v>6489</v>
      </c>
    </row>
    <row r="908" spans="1:7" x14ac:dyDescent="0.3">
      <c r="A908" s="58" t="s">
        <v>1593</v>
      </c>
      <c r="B908" s="58" t="s">
        <v>1599</v>
      </c>
      <c r="C908" s="58" t="s">
        <v>1595</v>
      </c>
      <c r="D908" s="58" t="s">
        <v>1587</v>
      </c>
      <c r="E908" s="58">
        <v>10</v>
      </c>
      <c r="F908" s="58">
        <v>13337</v>
      </c>
      <c r="G908" s="58">
        <v>133370</v>
      </c>
    </row>
    <row r="909" spans="1:7" x14ac:dyDescent="0.3">
      <c r="A909" s="58" t="s">
        <v>1593</v>
      </c>
      <c r="B909" s="58" t="s">
        <v>1597</v>
      </c>
      <c r="C909" s="58" t="s">
        <v>1603</v>
      </c>
      <c r="D909" s="58" t="s">
        <v>1594</v>
      </c>
      <c r="E909" s="58">
        <v>7</v>
      </c>
      <c r="F909" s="58">
        <v>12182</v>
      </c>
      <c r="G909" s="58">
        <v>85274</v>
      </c>
    </row>
    <row r="910" spans="1:7" x14ac:dyDescent="0.3">
      <c r="A910" s="58" t="s">
        <v>1601</v>
      </c>
      <c r="B910" s="58" t="s">
        <v>1589</v>
      </c>
      <c r="C910" s="58" t="s">
        <v>1603</v>
      </c>
      <c r="D910" s="58" t="s">
        <v>1606</v>
      </c>
      <c r="E910" s="58">
        <v>4</v>
      </c>
      <c r="F910" s="58">
        <v>22833</v>
      </c>
      <c r="G910" s="58">
        <v>91332</v>
      </c>
    </row>
    <row r="911" spans="1:7" x14ac:dyDescent="0.3">
      <c r="A911" s="58" t="s">
        <v>1601</v>
      </c>
      <c r="B911" s="58" t="s">
        <v>1599</v>
      </c>
      <c r="C911" s="58" t="s">
        <v>1595</v>
      </c>
      <c r="D911" s="58" t="s">
        <v>1600</v>
      </c>
      <c r="E911" s="58">
        <v>7</v>
      </c>
      <c r="F911" s="58">
        <v>16184</v>
      </c>
      <c r="G911" s="58">
        <v>113288</v>
      </c>
    </row>
    <row r="912" spans="1:7" x14ac:dyDescent="0.3">
      <c r="A912" s="58" t="s">
        <v>1601</v>
      </c>
      <c r="B912" s="58" t="s">
        <v>1599</v>
      </c>
      <c r="C912" s="58" t="s">
        <v>1588</v>
      </c>
      <c r="D912" s="58" t="s">
        <v>1594</v>
      </c>
      <c r="E912" s="58">
        <v>7</v>
      </c>
      <c r="F912" s="58">
        <v>26587</v>
      </c>
      <c r="G912" s="58">
        <v>186109</v>
      </c>
    </row>
    <row r="913" spans="1:7" x14ac:dyDescent="0.3">
      <c r="A913" s="58" t="s">
        <v>1602</v>
      </c>
      <c r="B913" s="58" t="s">
        <v>1599</v>
      </c>
      <c r="C913" s="58" t="s">
        <v>1595</v>
      </c>
      <c r="D913" s="58" t="s">
        <v>1598</v>
      </c>
      <c r="E913" s="58">
        <v>1</v>
      </c>
      <c r="F913" s="58">
        <v>16049</v>
      </c>
      <c r="G913" s="58">
        <v>16049</v>
      </c>
    </row>
    <row r="914" spans="1:7" x14ac:dyDescent="0.3">
      <c r="A914" s="58" t="s">
        <v>1593</v>
      </c>
      <c r="B914" s="58" t="s">
        <v>1597</v>
      </c>
      <c r="C914" s="58" t="s">
        <v>1592</v>
      </c>
      <c r="D914" s="58" t="s">
        <v>1600</v>
      </c>
      <c r="E914" s="58">
        <v>10</v>
      </c>
      <c r="F914" s="58">
        <v>21762</v>
      </c>
      <c r="G914" s="58">
        <v>217620</v>
      </c>
    </row>
    <row r="915" spans="1:7" x14ac:dyDescent="0.3">
      <c r="A915" s="58" t="s">
        <v>1590</v>
      </c>
      <c r="B915" s="58" t="s">
        <v>1599</v>
      </c>
      <c r="C915" s="58" t="s">
        <v>1603</v>
      </c>
      <c r="D915" s="58" t="s">
        <v>1600</v>
      </c>
      <c r="E915" s="58">
        <v>4</v>
      </c>
      <c r="F915" s="58">
        <v>29504</v>
      </c>
      <c r="G915" s="58">
        <v>118016</v>
      </c>
    </row>
    <row r="916" spans="1:7" x14ac:dyDescent="0.3">
      <c r="A916" s="58" t="s">
        <v>1602</v>
      </c>
      <c r="B916" s="58" t="s">
        <v>1599</v>
      </c>
      <c r="C916" s="58" t="s">
        <v>1603</v>
      </c>
      <c r="D916" s="58" t="s">
        <v>1598</v>
      </c>
      <c r="E916" s="58">
        <v>6</v>
      </c>
      <c r="F916" s="58">
        <v>1888</v>
      </c>
      <c r="G916" s="58">
        <v>11328</v>
      </c>
    </row>
    <row r="917" spans="1:7" x14ac:dyDescent="0.3">
      <c r="A917" s="58" t="s">
        <v>1590</v>
      </c>
      <c r="B917" s="58" t="s">
        <v>1589</v>
      </c>
      <c r="C917" s="58" t="s">
        <v>1596</v>
      </c>
      <c r="D917" s="58" t="s">
        <v>1591</v>
      </c>
      <c r="E917" s="58">
        <v>9</v>
      </c>
      <c r="F917" s="58">
        <v>3020</v>
      </c>
      <c r="G917" s="58">
        <v>27180</v>
      </c>
    </row>
    <row r="918" spans="1:7" x14ac:dyDescent="0.3">
      <c r="A918" s="58" t="s">
        <v>1601</v>
      </c>
      <c r="B918" s="58" t="s">
        <v>1599</v>
      </c>
      <c r="C918" s="58" t="s">
        <v>1588</v>
      </c>
      <c r="D918" s="58" t="s">
        <v>1600</v>
      </c>
      <c r="E918" s="58">
        <v>3</v>
      </c>
      <c r="F918" s="58">
        <v>24596</v>
      </c>
      <c r="G918" s="58">
        <v>73788</v>
      </c>
    </row>
    <row r="919" spans="1:7" x14ac:dyDescent="0.3">
      <c r="A919" s="58" t="s">
        <v>1604</v>
      </c>
      <c r="B919" s="58" t="s">
        <v>1605</v>
      </c>
      <c r="C919" s="58" t="s">
        <v>1588</v>
      </c>
      <c r="D919" s="58" t="s">
        <v>1587</v>
      </c>
      <c r="E919" s="58">
        <v>9</v>
      </c>
      <c r="F919" s="58">
        <v>28332</v>
      </c>
      <c r="G919" s="58">
        <v>254988</v>
      </c>
    </row>
    <row r="920" spans="1:7" x14ac:dyDescent="0.3">
      <c r="A920" s="58" t="s">
        <v>1602</v>
      </c>
      <c r="B920" s="58" t="s">
        <v>1597</v>
      </c>
      <c r="C920" s="58" t="s">
        <v>1588</v>
      </c>
      <c r="D920" s="58" t="s">
        <v>1594</v>
      </c>
      <c r="E920" s="58">
        <v>2</v>
      </c>
      <c r="F920" s="58">
        <v>6073</v>
      </c>
      <c r="G920" s="58">
        <v>12146</v>
      </c>
    </row>
    <row r="921" spans="1:7" x14ac:dyDescent="0.3">
      <c r="A921" s="58" t="s">
        <v>1593</v>
      </c>
      <c r="B921" s="58" t="s">
        <v>1599</v>
      </c>
      <c r="C921" s="58" t="s">
        <v>1592</v>
      </c>
      <c r="D921" s="58" t="s">
        <v>1600</v>
      </c>
      <c r="E921" s="58">
        <v>6</v>
      </c>
      <c r="F921" s="58">
        <v>11924</v>
      </c>
      <c r="G921" s="58">
        <v>71544</v>
      </c>
    </row>
    <row r="922" spans="1:7" x14ac:dyDescent="0.3">
      <c r="A922" s="58" t="s">
        <v>1590</v>
      </c>
      <c r="B922" s="58" t="s">
        <v>1589</v>
      </c>
      <c r="C922" s="58" t="s">
        <v>1592</v>
      </c>
      <c r="D922" s="58" t="s">
        <v>1598</v>
      </c>
      <c r="E922" s="58">
        <v>2</v>
      </c>
      <c r="F922" s="58">
        <v>21604</v>
      </c>
      <c r="G922" s="58">
        <v>43208</v>
      </c>
    </row>
    <row r="923" spans="1:7" x14ac:dyDescent="0.3">
      <c r="A923" s="58" t="s">
        <v>1602</v>
      </c>
      <c r="B923" s="58" t="s">
        <v>1599</v>
      </c>
      <c r="C923" s="58" t="s">
        <v>1595</v>
      </c>
      <c r="D923" s="58" t="s">
        <v>1587</v>
      </c>
      <c r="E923" s="58">
        <v>6</v>
      </c>
      <c r="F923" s="58">
        <v>24925</v>
      </c>
      <c r="G923" s="58">
        <v>149550</v>
      </c>
    </row>
    <row r="924" spans="1:7" x14ac:dyDescent="0.3">
      <c r="A924" s="58" t="s">
        <v>1590</v>
      </c>
      <c r="B924" s="58" t="s">
        <v>1599</v>
      </c>
      <c r="C924" s="58" t="s">
        <v>1603</v>
      </c>
      <c r="D924" s="58" t="s">
        <v>1598</v>
      </c>
      <c r="E924" s="58">
        <v>8</v>
      </c>
      <c r="F924" s="58">
        <v>9608</v>
      </c>
      <c r="G924" s="58">
        <v>76864</v>
      </c>
    </row>
    <row r="925" spans="1:7" x14ac:dyDescent="0.3">
      <c r="A925" s="58" t="s">
        <v>1604</v>
      </c>
      <c r="B925" s="58" t="s">
        <v>1605</v>
      </c>
      <c r="C925" s="58" t="s">
        <v>1596</v>
      </c>
      <c r="D925" s="58" t="s">
        <v>1587</v>
      </c>
      <c r="E925" s="58">
        <v>8</v>
      </c>
      <c r="F925" s="58">
        <v>16144</v>
      </c>
      <c r="G925" s="58">
        <v>129152</v>
      </c>
    </row>
    <row r="926" spans="1:7" x14ac:dyDescent="0.3">
      <c r="A926" s="58" t="s">
        <v>1593</v>
      </c>
      <c r="B926" s="58" t="s">
        <v>1599</v>
      </c>
      <c r="C926" s="58" t="s">
        <v>1588</v>
      </c>
      <c r="D926" s="58" t="s">
        <v>1606</v>
      </c>
      <c r="E926" s="58">
        <v>8</v>
      </c>
      <c r="F926" s="58">
        <v>8528</v>
      </c>
      <c r="G926" s="58">
        <v>68224</v>
      </c>
    </row>
    <row r="927" spans="1:7" x14ac:dyDescent="0.3">
      <c r="A927" s="58" t="s">
        <v>1602</v>
      </c>
      <c r="B927" s="58" t="s">
        <v>1599</v>
      </c>
      <c r="C927" s="58" t="s">
        <v>1588</v>
      </c>
      <c r="D927" s="58" t="s">
        <v>1594</v>
      </c>
      <c r="E927" s="58">
        <v>9</v>
      </c>
      <c r="F927" s="58">
        <v>18667</v>
      </c>
      <c r="G927" s="58">
        <v>168003</v>
      </c>
    </row>
    <row r="928" spans="1:7" x14ac:dyDescent="0.3">
      <c r="A928" s="58" t="s">
        <v>1593</v>
      </c>
      <c r="B928" s="58" t="s">
        <v>1605</v>
      </c>
      <c r="C928" s="58" t="s">
        <v>1603</v>
      </c>
      <c r="D928" s="58" t="s">
        <v>1587</v>
      </c>
      <c r="E928" s="58">
        <v>5</v>
      </c>
      <c r="F928" s="58">
        <v>4382</v>
      </c>
      <c r="G928" s="58">
        <v>21910</v>
      </c>
    </row>
    <row r="929" spans="1:7" x14ac:dyDescent="0.3">
      <c r="A929" s="58" t="s">
        <v>1590</v>
      </c>
      <c r="B929" s="58" t="s">
        <v>1599</v>
      </c>
      <c r="C929" s="58" t="s">
        <v>1592</v>
      </c>
      <c r="D929" s="58" t="s">
        <v>1594</v>
      </c>
      <c r="E929" s="58">
        <v>1</v>
      </c>
      <c r="F929" s="58">
        <v>15839</v>
      </c>
      <c r="G929" s="58">
        <v>15839</v>
      </c>
    </row>
    <row r="930" spans="1:7" x14ac:dyDescent="0.3">
      <c r="A930" s="58" t="s">
        <v>1602</v>
      </c>
      <c r="B930" s="58" t="s">
        <v>1589</v>
      </c>
      <c r="C930" s="58" t="s">
        <v>1592</v>
      </c>
      <c r="D930" s="58" t="s">
        <v>1598</v>
      </c>
      <c r="E930" s="58">
        <v>5</v>
      </c>
      <c r="F930" s="58">
        <v>10813</v>
      </c>
      <c r="G930" s="58">
        <v>54065</v>
      </c>
    </row>
    <row r="931" spans="1:7" x14ac:dyDescent="0.3">
      <c r="A931" s="58" t="s">
        <v>1601</v>
      </c>
      <c r="B931" s="58" t="s">
        <v>1589</v>
      </c>
      <c r="C931" s="58" t="s">
        <v>1592</v>
      </c>
      <c r="D931" s="58" t="s">
        <v>1591</v>
      </c>
      <c r="E931" s="58">
        <v>9</v>
      </c>
      <c r="F931" s="58">
        <v>22911</v>
      </c>
      <c r="G931" s="58">
        <v>206199</v>
      </c>
    </row>
    <row r="932" spans="1:7" x14ac:dyDescent="0.3">
      <c r="A932" s="58" t="s">
        <v>1590</v>
      </c>
      <c r="B932" s="58" t="s">
        <v>1589</v>
      </c>
      <c r="C932" s="58" t="s">
        <v>1596</v>
      </c>
      <c r="D932" s="58" t="s">
        <v>1606</v>
      </c>
      <c r="E932" s="58">
        <v>6</v>
      </c>
      <c r="F932" s="58">
        <v>25966</v>
      </c>
      <c r="G932" s="58">
        <v>155796</v>
      </c>
    </row>
    <row r="933" spans="1:7" x14ac:dyDescent="0.3">
      <c r="A933" s="58" t="s">
        <v>1604</v>
      </c>
      <c r="B933" s="58" t="s">
        <v>1599</v>
      </c>
      <c r="C933" s="58" t="s">
        <v>1592</v>
      </c>
      <c r="D933" s="58" t="s">
        <v>1594</v>
      </c>
      <c r="E933" s="58">
        <v>5</v>
      </c>
      <c r="F933" s="58">
        <v>16806</v>
      </c>
      <c r="G933" s="58">
        <v>84030</v>
      </c>
    </row>
    <row r="934" spans="1:7" x14ac:dyDescent="0.3">
      <c r="A934" s="58" t="s">
        <v>1590</v>
      </c>
      <c r="B934" s="58" t="s">
        <v>1597</v>
      </c>
      <c r="C934" s="58" t="s">
        <v>1596</v>
      </c>
      <c r="D934" s="58" t="s">
        <v>1594</v>
      </c>
      <c r="E934" s="58">
        <v>7</v>
      </c>
      <c r="F934" s="58">
        <v>7103</v>
      </c>
      <c r="G934" s="58">
        <v>49721</v>
      </c>
    </row>
    <row r="935" spans="1:7" x14ac:dyDescent="0.3">
      <c r="A935" s="58" t="s">
        <v>1593</v>
      </c>
      <c r="B935" s="58" t="s">
        <v>1605</v>
      </c>
      <c r="C935" s="58" t="s">
        <v>1596</v>
      </c>
      <c r="D935" s="58" t="s">
        <v>1591</v>
      </c>
      <c r="E935" s="58">
        <v>1</v>
      </c>
      <c r="F935" s="58">
        <v>17358</v>
      </c>
      <c r="G935" s="58">
        <v>17358</v>
      </c>
    </row>
    <row r="936" spans="1:7" x14ac:dyDescent="0.3">
      <c r="A936" s="58" t="s">
        <v>1593</v>
      </c>
      <c r="B936" s="58" t="s">
        <v>1589</v>
      </c>
      <c r="C936" s="58" t="s">
        <v>1603</v>
      </c>
      <c r="D936" s="58" t="s">
        <v>1587</v>
      </c>
      <c r="E936" s="58">
        <v>8</v>
      </c>
      <c r="F936" s="58">
        <v>2966</v>
      </c>
      <c r="G936" s="58">
        <v>23728</v>
      </c>
    </row>
    <row r="937" spans="1:7" x14ac:dyDescent="0.3">
      <c r="A937" s="58" t="s">
        <v>1590</v>
      </c>
      <c r="B937" s="58" t="s">
        <v>1605</v>
      </c>
      <c r="C937" s="58" t="s">
        <v>1588</v>
      </c>
      <c r="D937" s="58" t="s">
        <v>1591</v>
      </c>
      <c r="E937" s="58">
        <v>3</v>
      </c>
      <c r="F937" s="58">
        <v>6938</v>
      </c>
      <c r="G937" s="58">
        <v>20814</v>
      </c>
    </row>
    <row r="938" spans="1:7" x14ac:dyDescent="0.3">
      <c r="A938" s="58" t="s">
        <v>1601</v>
      </c>
      <c r="B938" s="58" t="s">
        <v>1599</v>
      </c>
      <c r="C938" s="58" t="s">
        <v>1603</v>
      </c>
      <c r="D938" s="58" t="s">
        <v>1591</v>
      </c>
      <c r="E938" s="58">
        <v>6</v>
      </c>
      <c r="F938" s="58">
        <v>27779</v>
      </c>
      <c r="G938" s="58">
        <v>166674</v>
      </c>
    </row>
    <row r="939" spans="1:7" x14ac:dyDescent="0.3">
      <c r="A939" s="58" t="s">
        <v>1593</v>
      </c>
      <c r="B939" s="58" t="s">
        <v>1597</v>
      </c>
      <c r="C939" s="58" t="s">
        <v>1603</v>
      </c>
      <c r="D939" s="58" t="s">
        <v>1591</v>
      </c>
      <c r="E939" s="58">
        <v>7</v>
      </c>
      <c r="F939" s="58">
        <v>4398</v>
      </c>
      <c r="G939" s="58">
        <v>30786</v>
      </c>
    </row>
    <row r="940" spans="1:7" x14ac:dyDescent="0.3">
      <c r="A940" s="58" t="s">
        <v>1604</v>
      </c>
      <c r="B940" s="58" t="s">
        <v>1605</v>
      </c>
      <c r="C940" s="58" t="s">
        <v>1588</v>
      </c>
      <c r="D940" s="58" t="s">
        <v>1598</v>
      </c>
      <c r="E940" s="58">
        <v>9</v>
      </c>
      <c r="F940" s="58">
        <v>13139</v>
      </c>
      <c r="G940" s="58">
        <v>118251</v>
      </c>
    </row>
    <row r="941" spans="1:7" x14ac:dyDescent="0.3">
      <c r="A941" s="58" t="s">
        <v>1590</v>
      </c>
      <c r="B941" s="58" t="s">
        <v>1605</v>
      </c>
      <c r="C941" s="58" t="s">
        <v>1603</v>
      </c>
      <c r="D941" s="58" t="s">
        <v>1591</v>
      </c>
      <c r="E941" s="58">
        <v>7</v>
      </c>
      <c r="F941" s="58">
        <v>6763</v>
      </c>
      <c r="G941" s="58">
        <v>47341</v>
      </c>
    </row>
    <row r="942" spans="1:7" x14ac:dyDescent="0.3">
      <c r="A942" s="58" t="s">
        <v>1604</v>
      </c>
      <c r="B942" s="58" t="s">
        <v>1599</v>
      </c>
      <c r="C942" s="58" t="s">
        <v>1595</v>
      </c>
      <c r="D942" s="58" t="s">
        <v>1587</v>
      </c>
      <c r="E942" s="58">
        <v>4</v>
      </c>
      <c r="F942" s="58">
        <v>16703</v>
      </c>
      <c r="G942" s="58">
        <v>66812</v>
      </c>
    </row>
    <row r="943" spans="1:7" x14ac:dyDescent="0.3">
      <c r="A943" s="58" t="s">
        <v>1601</v>
      </c>
      <c r="B943" s="58" t="s">
        <v>1599</v>
      </c>
      <c r="C943" s="58" t="s">
        <v>1592</v>
      </c>
      <c r="D943" s="58" t="s">
        <v>1587</v>
      </c>
      <c r="E943" s="58">
        <v>1</v>
      </c>
      <c r="F943" s="58">
        <v>13366</v>
      </c>
      <c r="G943" s="58">
        <v>13366</v>
      </c>
    </row>
    <row r="944" spans="1:7" x14ac:dyDescent="0.3">
      <c r="A944" s="58" t="s">
        <v>1602</v>
      </c>
      <c r="B944" s="58" t="s">
        <v>1605</v>
      </c>
      <c r="C944" s="58" t="s">
        <v>1595</v>
      </c>
      <c r="D944" s="58" t="s">
        <v>1587</v>
      </c>
      <c r="E944" s="58">
        <v>3</v>
      </c>
      <c r="F944" s="58">
        <v>3298</v>
      </c>
      <c r="G944" s="58">
        <v>9894</v>
      </c>
    </row>
    <row r="945" spans="1:7" x14ac:dyDescent="0.3">
      <c r="A945" s="58" t="s">
        <v>1593</v>
      </c>
      <c r="B945" s="58" t="s">
        <v>1599</v>
      </c>
      <c r="C945" s="58" t="s">
        <v>1588</v>
      </c>
      <c r="D945" s="58" t="s">
        <v>1598</v>
      </c>
      <c r="E945" s="58">
        <v>9</v>
      </c>
      <c r="F945" s="58">
        <v>16345</v>
      </c>
      <c r="G945" s="58">
        <v>147105</v>
      </c>
    </row>
    <row r="946" spans="1:7" x14ac:dyDescent="0.3">
      <c r="A946" s="58" t="s">
        <v>1602</v>
      </c>
      <c r="B946" s="58" t="s">
        <v>1599</v>
      </c>
      <c r="C946" s="58" t="s">
        <v>1596</v>
      </c>
      <c r="D946" s="58" t="s">
        <v>1594</v>
      </c>
      <c r="E946" s="58">
        <v>5</v>
      </c>
      <c r="F946" s="58">
        <v>1012</v>
      </c>
      <c r="G946" s="58">
        <v>5060</v>
      </c>
    </row>
    <row r="947" spans="1:7" x14ac:dyDescent="0.3">
      <c r="A947" s="58" t="s">
        <v>1604</v>
      </c>
      <c r="B947" s="58" t="s">
        <v>1605</v>
      </c>
      <c r="C947" s="58" t="s">
        <v>1592</v>
      </c>
      <c r="D947" s="58" t="s">
        <v>1598</v>
      </c>
      <c r="E947" s="58">
        <v>2</v>
      </c>
      <c r="F947" s="58">
        <v>26541</v>
      </c>
      <c r="G947" s="58">
        <v>53082</v>
      </c>
    </row>
    <row r="948" spans="1:7" x14ac:dyDescent="0.3">
      <c r="A948" s="58" t="s">
        <v>1604</v>
      </c>
      <c r="B948" s="58" t="s">
        <v>1589</v>
      </c>
      <c r="C948" s="58" t="s">
        <v>1603</v>
      </c>
      <c r="D948" s="58" t="s">
        <v>1587</v>
      </c>
      <c r="E948" s="58">
        <v>7</v>
      </c>
      <c r="F948" s="58">
        <v>9552</v>
      </c>
      <c r="G948" s="58">
        <v>66864</v>
      </c>
    </row>
    <row r="949" spans="1:7" x14ac:dyDescent="0.3">
      <c r="A949" s="58" t="s">
        <v>1604</v>
      </c>
      <c r="B949" s="58" t="s">
        <v>1589</v>
      </c>
      <c r="C949" s="58" t="s">
        <v>1603</v>
      </c>
      <c r="D949" s="58" t="s">
        <v>1591</v>
      </c>
      <c r="E949" s="58">
        <v>4</v>
      </c>
      <c r="F949" s="58">
        <v>16473</v>
      </c>
      <c r="G949" s="58">
        <v>65892</v>
      </c>
    </row>
    <row r="950" spans="1:7" x14ac:dyDescent="0.3">
      <c r="A950" s="58" t="s">
        <v>1602</v>
      </c>
      <c r="B950" s="58" t="s">
        <v>1597</v>
      </c>
      <c r="C950" s="58" t="s">
        <v>1596</v>
      </c>
      <c r="D950" s="58" t="s">
        <v>1600</v>
      </c>
      <c r="E950" s="58">
        <v>4</v>
      </c>
      <c r="F950" s="58">
        <v>28178</v>
      </c>
      <c r="G950" s="58">
        <v>112712</v>
      </c>
    </row>
    <row r="951" spans="1:7" x14ac:dyDescent="0.3">
      <c r="A951" s="58" t="s">
        <v>1604</v>
      </c>
      <c r="B951" s="58" t="s">
        <v>1597</v>
      </c>
      <c r="C951" s="58" t="s">
        <v>1592</v>
      </c>
      <c r="D951" s="58" t="s">
        <v>1600</v>
      </c>
      <c r="E951" s="58">
        <v>5</v>
      </c>
      <c r="F951" s="58">
        <v>24944</v>
      </c>
      <c r="G951" s="58">
        <v>124720</v>
      </c>
    </row>
    <row r="952" spans="1:7" x14ac:dyDescent="0.3">
      <c r="A952" s="58" t="s">
        <v>1602</v>
      </c>
      <c r="B952" s="58" t="s">
        <v>1589</v>
      </c>
      <c r="C952" s="58" t="s">
        <v>1588</v>
      </c>
      <c r="D952" s="58" t="s">
        <v>1600</v>
      </c>
      <c r="E952" s="58">
        <v>8</v>
      </c>
      <c r="F952" s="58">
        <v>14952</v>
      </c>
      <c r="G952" s="58">
        <v>119616</v>
      </c>
    </row>
    <row r="953" spans="1:7" x14ac:dyDescent="0.3">
      <c r="A953" s="58" t="s">
        <v>1604</v>
      </c>
      <c r="B953" s="58" t="s">
        <v>1597</v>
      </c>
      <c r="C953" s="58" t="s">
        <v>1596</v>
      </c>
      <c r="D953" s="58" t="s">
        <v>1591</v>
      </c>
      <c r="E953" s="58">
        <v>2</v>
      </c>
      <c r="F953" s="58">
        <v>25007</v>
      </c>
      <c r="G953" s="58">
        <v>50014</v>
      </c>
    </row>
    <row r="954" spans="1:7" x14ac:dyDescent="0.3">
      <c r="A954" s="58" t="s">
        <v>1590</v>
      </c>
      <c r="B954" s="58" t="s">
        <v>1597</v>
      </c>
      <c r="C954" s="58" t="s">
        <v>1588</v>
      </c>
      <c r="D954" s="58" t="s">
        <v>1600</v>
      </c>
      <c r="E954" s="58">
        <v>3</v>
      </c>
      <c r="F954" s="58">
        <v>11413</v>
      </c>
      <c r="G954" s="58">
        <v>34239</v>
      </c>
    </row>
    <row r="955" spans="1:7" x14ac:dyDescent="0.3">
      <c r="A955" s="58" t="s">
        <v>1593</v>
      </c>
      <c r="B955" s="58" t="s">
        <v>1597</v>
      </c>
      <c r="C955" s="58" t="s">
        <v>1595</v>
      </c>
      <c r="D955" s="58" t="s">
        <v>1598</v>
      </c>
      <c r="E955" s="58">
        <v>10</v>
      </c>
      <c r="F955" s="58">
        <v>8855</v>
      </c>
      <c r="G955" s="58">
        <v>88550</v>
      </c>
    </row>
    <row r="956" spans="1:7" x14ac:dyDescent="0.3">
      <c r="A956" s="58" t="s">
        <v>1604</v>
      </c>
      <c r="B956" s="58" t="s">
        <v>1589</v>
      </c>
      <c r="C956" s="58" t="s">
        <v>1592</v>
      </c>
      <c r="D956" s="58" t="s">
        <v>1598</v>
      </c>
      <c r="E956" s="58">
        <v>3</v>
      </c>
      <c r="F956" s="58">
        <v>16914</v>
      </c>
      <c r="G956" s="58">
        <v>50742</v>
      </c>
    </row>
    <row r="957" spans="1:7" x14ac:dyDescent="0.3">
      <c r="A957" s="58" t="s">
        <v>1593</v>
      </c>
      <c r="B957" s="58" t="s">
        <v>1597</v>
      </c>
      <c r="C957" s="58" t="s">
        <v>1595</v>
      </c>
      <c r="D957" s="58" t="s">
        <v>1600</v>
      </c>
      <c r="E957" s="58">
        <v>3</v>
      </c>
      <c r="F957" s="58">
        <v>20380</v>
      </c>
      <c r="G957" s="58">
        <v>61140</v>
      </c>
    </row>
    <row r="958" spans="1:7" x14ac:dyDescent="0.3">
      <c r="A958" s="58" t="s">
        <v>1601</v>
      </c>
      <c r="B958" s="58" t="s">
        <v>1589</v>
      </c>
      <c r="C958" s="58" t="s">
        <v>1595</v>
      </c>
      <c r="D958" s="58" t="s">
        <v>1600</v>
      </c>
      <c r="E958" s="58">
        <v>9</v>
      </c>
      <c r="F958" s="58">
        <v>16156</v>
      </c>
      <c r="G958" s="58">
        <v>145404</v>
      </c>
    </row>
    <row r="959" spans="1:7" x14ac:dyDescent="0.3">
      <c r="A959" s="58" t="s">
        <v>1593</v>
      </c>
      <c r="B959" s="58" t="s">
        <v>1605</v>
      </c>
      <c r="C959" s="58" t="s">
        <v>1588</v>
      </c>
      <c r="D959" s="58" t="s">
        <v>1587</v>
      </c>
      <c r="E959" s="58">
        <v>1</v>
      </c>
      <c r="F959" s="58">
        <v>16722</v>
      </c>
      <c r="G959" s="58">
        <v>16722</v>
      </c>
    </row>
    <row r="960" spans="1:7" x14ac:dyDescent="0.3">
      <c r="A960" s="58" t="s">
        <v>1593</v>
      </c>
      <c r="B960" s="58" t="s">
        <v>1599</v>
      </c>
      <c r="C960" s="58" t="s">
        <v>1596</v>
      </c>
      <c r="D960" s="58" t="s">
        <v>1600</v>
      </c>
      <c r="E960" s="58">
        <v>5</v>
      </c>
      <c r="F960" s="58">
        <v>18288</v>
      </c>
      <c r="G960" s="58">
        <v>91440</v>
      </c>
    </row>
    <row r="961" spans="1:7" x14ac:dyDescent="0.3">
      <c r="A961" s="58" t="s">
        <v>1593</v>
      </c>
      <c r="B961" s="58" t="s">
        <v>1605</v>
      </c>
      <c r="C961" s="58" t="s">
        <v>1596</v>
      </c>
      <c r="D961" s="58" t="s">
        <v>1594</v>
      </c>
      <c r="E961" s="58">
        <v>2</v>
      </c>
      <c r="F961" s="58">
        <v>11530</v>
      </c>
      <c r="G961" s="58">
        <v>23060</v>
      </c>
    </row>
    <row r="962" spans="1:7" x14ac:dyDescent="0.3">
      <c r="A962" s="58" t="s">
        <v>1590</v>
      </c>
      <c r="B962" s="58" t="s">
        <v>1605</v>
      </c>
      <c r="C962" s="58" t="s">
        <v>1596</v>
      </c>
      <c r="D962" s="58" t="s">
        <v>1591</v>
      </c>
      <c r="E962" s="58">
        <v>5</v>
      </c>
      <c r="F962" s="58">
        <v>14009</v>
      </c>
      <c r="G962" s="58">
        <v>70045</v>
      </c>
    </row>
    <row r="963" spans="1:7" x14ac:dyDescent="0.3">
      <c r="A963" s="58" t="s">
        <v>1590</v>
      </c>
      <c r="B963" s="58" t="s">
        <v>1605</v>
      </c>
      <c r="C963" s="58" t="s">
        <v>1596</v>
      </c>
      <c r="D963" s="58" t="s">
        <v>1591</v>
      </c>
      <c r="E963" s="58">
        <v>4</v>
      </c>
      <c r="F963" s="58">
        <v>11790</v>
      </c>
      <c r="G963" s="58">
        <v>47160</v>
      </c>
    </row>
    <row r="964" spans="1:7" x14ac:dyDescent="0.3">
      <c r="A964" s="58" t="s">
        <v>1590</v>
      </c>
      <c r="B964" s="58" t="s">
        <v>1597</v>
      </c>
      <c r="C964" s="58" t="s">
        <v>1592</v>
      </c>
      <c r="D964" s="58" t="s">
        <v>1606</v>
      </c>
      <c r="E964" s="58">
        <v>4</v>
      </c>
      <c r="F964" s="58">
        <v>3511</v>
      </c>
      <c r="G964" s="58">
        <v>14044</v>
      </c>
    </row>
    <row r="965" spans="1:7" x14ac:dyDescent="0.3">
      <c r="A965" s="58" t="s">
        <v>1604</v>
      </c>
      <c r="B965" s="58" t="s">
        <v>1589</v>
      </c>
      <c r="C965" s="58" t="s">
        <v>1596</v>
      </c>
      <c r="D965" s="58" t="s">
        <v>1598</v>
      </c>
      <c r="E965" s="58">
        <v>3</v>
      </c>
      <c r="F965" s="58">
        <v>15085</v>
      </c>
      <c r="G965" s="58">
        <v>45255</v>
      </c>
    </row>
    <row r="966" spans="1:7" x14ac:dyDescent="0.3">
      <c r="A966" s="58" t="s">
        <v>1604</v>
      </c>
      <c r="B966" s="58" t="s">
        <v>1589</v>
      </c>
      <c r="C966" s="58" t="s">
        <v>1595</v>
      </c>
      <c r="D966" s="58" t="s">
        <v>1598</v>
      </c>
      <c r="E966" s="58">
        <v>4</v>
      </c>
      <c r="F966" s="58">
        <v>3234</v>
      </c>
      <c r="G966" s="58">
        <v>12936</v>
      </c>
    </row>
    <row r="967" spans="1:7" x14ac:dyDescent="0.3">
      <c r="A967" s="58" t="s">
        <v>1601</v>
      </c>
      <c r="B967" s="58" t="s">
        <v>1589</v>
      </c>
      <c r="C967" s="58" t="s">
        <v>1592</v>
      </c>
      <c r="D967" s="58" t="s">
        <v>1587</v>
      </c>
      <c r="E967" s="58">
        <v>8</v>
      </c>
      <c r="F967" s="58">
        <v>7712</v>
      </c>
      <c r="G967" s="58">
        <v>61696</v>
      </c>
    </row>
    <row r="968" spans="1:7" x14ac:dyDescent="0.3">
      <c r="A968" s="58" t="s">
        <v>1602</v>
      </c>
      <c r="B968" s="58" t="s">
        <v>1605</v>
      </c>
      <c r="C968" s="58" t="s">
        <v>1596</v>
      </c>
      <c r="D968" s="58" t="s">
        <v>1600</v>
      </c>
      <c r="E968" s="58">
        <v>4</v>
      </c>
      <c r="F968" s="58">
        <v>1487</v>
      </c>
      <c r="G968" s="58">
        <v>5948</v>
      </c>
    </row>
    <row r="969" spans="1:7" x14ac:dyDescent="0.3">
      <c r="A969" s="58" t="s">
        <v>1593</v>
      </c>
      <c r="B969" s="58" t="s">
        <v>1605</v>
      </c>
      <c r="C969" s="58" t="s">
        <v>1596</v>
      </c>
      <c r="D969" s="58" t="s">
        <v>1606</v>
      </c>
      <c r="E969" s="58">
        <v>2</v>
      </c>
      <c r="F969" s="58">
        <v>5498</v>
      </c>
      <c r="G969" s="58">
        <v>10996</v>
      </c>
    </row>
    <row r="970" spans="1:7" x14ac:dyDescent="0.3">
      <c r="A970" s="58" t="s">
        <v>1602</v>
      </c>
      <c r="B970" s="58" t="s">
        <v>1589</v>
      </c>
      <c r="C970" s="58" t="s">
        <v>1592</v>
      </c>
      <c r="D970" s="58" t="s">
        <v>1587</v>
      </c>
      <c r="E970" s="58">
        <v>4</v>
      </c>
      <c r="F970" s="58">
        <v>21447</v>
      </c>
      <c r="G970" s="58">
        <v>85788</v>
      </c>
    </row>
    <row r="971" spans="1:7" x14ac:dyDescent="0.3">
      <c r="A971" s="58" t="s">
        <v>1604</v>
      </c>
      <c r="B971" s="58" t="s">
        <v>1597</v>
      </c>
      <c r="C971" s="58" t="s">
        <v>1603</v>
      </c>
      <c r="D971" s="58" t="s">
        <v>1594</v>
      </c>
      <c r="E971" s="58">
        <v>3</v>
      </c>
      <c r="F971" s="58">
        <v>4665</v>
      </c>
      <c r="G971" s="58">
        <v>13995</v>
      </c>
    </row>
    <row r="972" spans="1:7" x14ac:dyDescent="0.3">
      <c r="A972" s="58" t="s">
        <v>1590</v>
      </c>
      <c r="B972" s="58" t="s">
        <v>1605</v>
      </c>
      <c r="C972" s="58" t="s">
        <v>1595</v>
      </c>
      <c r="D972" s="58" t="s">
        <v>1587</v>
      </c>
      <c r="E972" s="58">
        <v>8</v>
      </c>
      <c r="F972" s="58">
        <v>6980</v>
      </c>
      <c r="G972" s="58">
        <v>55840</v>
      </c>
    </row>
    <row r="973" spans="1:7" x14ac:dyDescent="0.3">
      <c r="A973" s="58" t="s">
        <v>1590</v>
      </c>
      <c r="B973" s="58" t="s">
        <v>1605</v>
      </c>
      <c r="C973" s="58" t="s">
        <v>1592</v>
      </c>
      <c r="D973" s="58" t="s">
        <v>1587</v>
      </c>
      <c r="E973" s="58">
        <v>9</v>
      </c>
      <c r="F973" s="58">
        <v>27038</v>
      </c>
      <c r="G973" s="58">
        <v>243342</v>
      </c>
    </row>
    <row r="974" spans="1:7" x14ac:dyDescent="0.3">
      <c r="A974" s="58" t="s">
        <v>1601</v>
      </c>
      <c r="B974" s="58" t="s">
        <v>1599</v>
      </c>
      <c r="C974" s="58" t="s">
        <v>1603</v>
      </c>
      <c r="D974" s="58" t="s">
        <v>1598</v>
      </c>
      <c r="E974" s="58">
        <v>7</v>
      </c>
      <c r="F974" s="58">
        <v>13302</v>
      </c>
      <c r="G974" s="58">
        <v>93114</v>
      </c>
    </row>
    <row r="975" spans="1:7" x14ac:dyDescent="0.3">
      <c r="A975" s="58" t="s">
        <v>1604</v>
      </c>
      <c r="B975" s="58" t="s">
        <v>1589</v>
      </c>
      <c r="C975" s="58" t="s">
        <v>1596</v>
      </c>
      <c r="D975" s="58" t="s">
        <v>1594</v>
      </c>
      <c r="E975" s="58">
        <v>2</v>
      </c>
      <c r="F975" s="58">
        <v>29464</v>
      </c>
      <c r="G975" s="58">
        <v>58928</v>
      </c>
    </row>
    <row r="976" spans="1:7" x14ac:dyDescent="0.3">
      <c r="A976" s="58" t="s">
        <v>1590</v>
      </c>
      <c r="B976" s="58" t="s">
        <v>1599</v>
      </c>
      <c r="C976" s="58" t="s">
        <v>1595</v>
      </c>
      <c r="D976" s="58" t="s">
        <v>1606</v>
      </c>
      <c r="E976" s="58">
        <v>4</v>
      </c>
      <c r="F976" s="58">
        <v>21331</v>
      </c>
      <c r="G976" s="58">
        <v>85324</v>
      </c>
    </row>
    <row r="977" spans="1:7" x14ac:dyDescent="0.3">
      <c r="A977" s="58" t="s">
        <v>1604</v>
      </c>
      <c r="B977" s="58" t="s">
        <v>1597</v>
      </c>
      <c r="C977" s="58" t="s">
        <v>1596</v>
      </c>
      <c r="D977" s="58" t="s">
        <v>1598</v>
      </c>
      <c r="E977" s="58">
        <v>3</v>
      </c>
      <c r="F977" s="58">
        <v>2227</v>
      </c>
      <c r="G977" s="58">
        <v>6681</v>
      </c>
    </row>
    <row r="978" spans="1:7" x14ac:dyDescent="0.3">
      <c r="A978" s="58" t="s">
        <v>1590</v>
      </c>
      <c r="B978" s="58" t="s">
        <v>1605</v>
      </c>
      <c r="C978" s="58" t="s">
        <v>1595</v>
      </c>
      <c r="D978" s="58" t="s">
        <v>1606</v>
      </c>
      <c r="E978" s="58">
        <v>10</v>
      </c>
      <c r="F978" s="58">
        <v>19588</v>
      </c>
      <c r="G978" s="58">
        <v>195880</v>
      </c>
    </row>
    <row r="979" spans="1:7" x14ac:dyDescent="0.3">
      <c r="A979" s="58" t="s">
        <v>1604</v>
      </c>
      <c r="B979" s="58" t="s">
        <v>1589</v>
      </c>
      <c r="C979" s="58" t="s">
        <v>1595</v>
      </c>
      <c r="D979" s="58" t="s">
        <v>1598</v>
      </c>
      <c r="E979" s="58">
        <v>6</v>
      </c>
      <c r="F979" s="58">
        <v>25204</v>
      </c>
      <c r="G979" s="58">
        <v>151224</v>
      </c>
    </row>
    <row r="980" spans="1:7" x14ac:dyDescent="0.3">
      <c r="A980" s="58" t="s">
        <v>1593</v>
      </c>
      <c r="B980" s="58" t="s">
        <v>1589</v>
      </c>
      <c r="C980" s="58" t="s">
        <v>1596</v>
      </c>
      <c r="D980" s="58" t="s">
        <v>1587</v>
      </c>
      <c r="E980" s="58">
        <v>10</v>
      </c>
      <c r="F980" s="58">
        <v>15418</v>
      </c>
      <c r="G980" s="58">
        <v>154180</v>
      </c>
    </row>
    <row r="981" spans="1:7" x14ac:dyDescent="0.3">
      <c r="A981" s="58" t="s">
        <v>1604</v>
      </c>
      <c r="B981" s="58" t="s">
        <v>1605</v>
      </c>
      <c r="C981" s="58" t="s">
        <v>1592</v>
      </c>
      <c r="D981" s="58" t="s">
        <v>1600</v>
      </c>
      <c r="E981" s="58">
        <v>8</v>
      </c>
      <c r="F981" s="58">
        <v>25751</v>
      </c>
      <c r="G981" s="58">
        <v>206008</v>
      </c>
    </row>
    <row r="982" spans="1:7" x14ac:dyDescent="0.3">
      <c r="A982" s="58" t="s">
        <v>1604</v>
      </c>
      <c r="B982" s="58" t="s">
        <v>1597</v>
      </c>
      <c r="C982" s="58" t="s">
        <v>1592</v>
      </c>
      <c r="D982" s="58" t="s">
        <v>1606</v>
      </c>
      <c r="E982" s="58">
        <v>1</v>
      </c>
      <c r="F982" s="58">
        <v>16703</v>
      </c>
      <c r="G982" s="58">
        <v>16703</v>
      </c>
    </row>
    <row r="983" spans="1:7" x14ac:dyDescent="0.3">
      <c r="A983" s="58" t="s">
        <v>1593</v>
      </c>
      <c r="B983" s="58" t="s">
        <v>1605</v>
      </c>
      <c r="C983" s="58" t="s">
        <v>1588</v>
      </c>
      <c r="D983" s="58" t="s">
        <v>1598</v>
      </c>
      <c r="E983" s="58">
        <v>1</v>
      </c>
      <c r="F983" s="58">
        <v>14845</v>
      </c>
      <c r="G983" s="58">
        <v>14845</v>
      </c>
    </row>
    <row r="984" spans="1:7" x14ac:dyDescent="0.3">
      <c r="A984" s="58" t="s">
        <v>1604</v>
      </c>
      <c r="B984" s="58" t="s">
        <v>1599</v>
      </c>
      <c r="C984" s="58" t="s">
        <v>1596</v>
      </c>
      <c r="D984" s="58" t="s">
        <v>1598</v>
      </c>
      <c r="E984" s="58">
        <v>6</v>
      </c>
      <c r="F984" s="58">
        <v>9303</v>
      </c>
      <c r="G984" s="58">
        <v>55818</v>
      </c>
    </row>
    <row r="985" spans="1:7" x14ac:dyDescent="0.3">
      <c r="A985" s="58" t="s">
        <v>1604</v>
      </c>
      <c r="B985" s="58" t="s">
        <v>1589</v>
      </c>
      <c r="C985" s="58" t="s">
        <v>1588</v>
      </c>
      <c r="D985" s="58" t="s">
        <v>1594</v>
      </c>
      <c r="E985" s="58">
        <v>1</v>
      </c>
      <c r="F985" s="58">
        <v>3498</v>
      </c>
      <c r="G985" s="58">
        <v>3498</v>
      </c>
    </row>
    <row r="986" spans="1:7" x14ac:dyDescent="0.3">
      <c r="A986" s="58" t="s">
        <v>1593</v>
      </c>
      <c r="B986" s="58" t="s">
        <v>1597</v>
      </c>
      <c r="C986" s="58" t="s">
        <v>1595</v>
      </c>
      <c r="D986" s="58" t="s">
        <v>1598</v>
      </c>
      <c r="E986" s="58">
        <v>5</v>
      </c>
      <c r="F986" s="58">
        <v>21884</v>
      </c>
      <c r="G986" s="58">
        <v>109420</v>
      </c>
    </row>
    <row r="987" spans="1:7" x14ac:dyDescent="0.3">
      <c r="A987" s="58" t="s">
        <v>1590</v>
      </c>
      <c r="B987" s="58" t="s">
        <v>1597</v>
      </c>
      <c r="C987" s="58" t="s">
        <v>1592</v>
      </c>
      <c r="D987" s="58" t="s">
        <v>1594</v>
      </c>
      <c r="E987" s="58">
        <v>7</v>
      </c>
      <c r="F987" s="58">
        <v>7052</v>
      </c>
      <c r="G987" s="58">
        <v>49364</v>
      </c>
    </row>
    <row r="988" spans="1:7" x14ac:dyDescent="0.3">
      <c r="A988" s="58" t="s">
        <v>1601</v>
      </c>
      <c r="B988" s="58" t="s">
        <v>1597</v>
      </c>
      <c r="C988" s="58" t="s">
        <v>1596</v>
      </c>
      <c r="D988" s="58" t="s">
        <v>1587</v>
      </c>
      <c r="E988" s="58">
        <v>5</v>
      </c>
      <c r="F988" s="58">
        <v>9313</v>
      </c>
      <c r="G988" s="58">
        <v>46565</v>
      </c>
    </row>
    <row r="989" spans="1:7" x14ac:dyDescent="0.3">
      <c r="A989" s="58" t="s">
        <v>1593</v>
      </c>
      <c r="B989" s="58" t="s">
        <v>1599</v>
      </c>
      <c r="C989" s="58" t="s">
        <v>1596</v>
      </c>
      <c r="D989" s="58" t="s">
        <v>1606</v>
      </c>
      <c r="E989" s="58">
        <v>7</v>
      </c>
      <c r="F989" s="58">
        <v>6105</v>
      </c>
      <c r="G989" s="58">
        <v>42735</v>
      </c>
    </row>
    <row r="990" spans="1:7" x14ac:dyDescent="0.3">
      <c r="A990" s="58" t="s">
        <v>1601</v>
      </c>
      <c r="B990" s="58" t="s">
        <v>1599</v>
      </c>
      <c r="C990" s="58" t="s">
        <v>1603</v>
      </c>
      <c r="D990" s="58" t="s">
        <v>1598</v>
      </c>
      <c r="E990" s="58">
        <v>5</v>
      </c>
      <c r="F990" s="58">
        <v>25443</v>
      </c>
      <c r="G990" s="58">
        <v>127215</v>
      </c>
    </row>
    <row r="991" spans="1:7" x14ac:dyDescent="0.3">
      <c r="A991" s="58" t="s">
        <v>1590</v>
      </c>
      <c r="B991" s="58" t="s">
        <v>1605</v>
      </c>
      <c r="C991" s="58" t="s">
        <v>1603</v>
      </c>
      <c r="D991" s="58" t="s">
        <v>1600</v>
      </c>
      <c r="E991" s="58">
        <v>8</v>
      </c>
      <c r="F991" s="58">
        <v>19124</v>
      </c>
      <c r="G991" s="58">
        <v>152992</v>
      </c>
    </row>
    <row r="992" spans="1:7" x14ac:dyDescent="0.3">
      <c r="A992" s="58" t="s">
        <v>1602</v>
      </c>
      <c r="B992" s="58" t="s">
        <v>1589</v>
      </c>
      <c r="C992" s="58" t="s">
        <v>1603</v>
      </c>
      <c r="D992" s="58" t="s">
        <v>1594</v>
      </c>
      <c r="E992" s="58">
        <v>8</v>
      </c>
      <c r="F992" s="58">
        <v>8385</v>
      </c>
      <c r="G992" s="58">
        <v>67080</v>
      </c>
    </row>
    <row r="993" spans="1:7" x14ac:dyDescent="0.3">
      <c r="A993" s="58" t="s">
        <v>1604</v>
      </c>
      <c r="B993" s="58" t="s">
        <v>1589</v>
      </c>
      <c r="C993" s="58" t="s">
        <v>1595</v>
      </c>
      <c r="D993" s="58" t="s">
        <v>1598</v>
      </c>
      <c r="E993" s="58">
        <v>7</v>
      </c>
      <c r="F993" s="58">
        <v>29575</v>
      </c>
      <c r="G993" s="58">
        <v>207025</v>
      </c>
    </row>
    <row r="994" spans="1:7" x14ac:dyDescent="0.3">
      <c r="A994" s="58" t="s">
        <v>1602</v>
      </c>
      <c r="B994" s="58" t="s">
        <v>1589</v>
      </c>
      <c r="C994" s="58" t="s">
        <v>1603</v>
      </c>
      <c r="D994" s="58" t="s">
        <v>1591</v>
      </c>
      <c r="E994" s="58">
        <v>10</v>
      </c>
      <c r="F994" s="58">
        <v>4333</v>
      </c>
      <c r="G994" s="58">
        <v>43330</v>
      </c>
    </row>
    <row r="995" spans="1:7" x14ac:dyDescent="0.3">
      <c r="A995" s="58" t="s">
        <v>1602</v>
      </c>
      <c r="B995" s="58" t="s">
        <v>1599</v>
      </c>
      <c r="C995" s="58" t="s">
        <v>1595</v>
      </c>
      <c r="D995" s="58" t="s">
        <v>1591</v>
      </c>
      <c r="E995" s="58">
        <v>4</v>
      </c>
      <c r="F995" s="58">
        <v>28991</v>
      </c>
      <c r="G995" s="58">
        <v>115964</v>
      </c>
    </row>
    <row r="996" spans="1:7" x14ac:dyDescent="0.3">
      <c r="A996" s="58" t="s">
        <v>1601</v>
      </c>
      <c r="B996" s="58" t="s">
        <v>1599</v>
      </c>
      <c r="C996" s="58" t="s">
        <v>1595</v>
      </c>
      <c r="D996" s="58" t="s">
        <v>1600</v>
      </c>
      <c r="E996" s="58">
        <v>4</v>
      </c>
      <c r="F996" s="58">
        <v>26557</v>
      </c>
      <c r="G996" s="58">
        <v>106228</v>
      </c>
    </row>
    <row r="997" spans="1:7" x14ac:dyDescent="0.3">
      <c r="A997" s="58" t="s">
        <v>1593</v>
      </c>
      <c r="B997" s="58" t="s">
        <v>1599</v>
      </c>
      <c r="C997" s="58" t="s">
        <v>1592</v>
      </c>
      <c r="D997" s="58" t="s">
        <v>1598</v>
      </c>
      <c r="E997" s="58">
        <v>8</v>
      </c>
      <c r="F997" s="58">
        <v>13932</v>
      </c>
      <c r="G997" s="58">
        <v>111456</v>
      </c>
    </row>
    <row r="998" spans="1:7" x14ac:dyDescent="0.3">
      <c r="A998" s="58" t="s">
        <v>1593</v>
      </c>
      <c r="B998" s="58" t="s">
        <v>1597</v>
      </c>
      <c r="C998" s="58" t="s">
        <v>1596</v>
      </c>
      <c r="D998" s="58" t="s">
        <v>1587</v>
      </c>
      <c r="E998" s="58">
        <v>10</v>
      </c>
      <c r="F998" s="58">
        <v>24276</v>
      </c>
      <c r="G998" s="58">
        <v>242760</v>
      </c>
    </row>
    <row r="999" spans="1:7" x14ac:dyDescent="0.3">
      <c r="A999" s="58" t="s">
        <v>1593</v>
      </c>
      <c r="B999" s="58" t="s">
        <v>1589</v>
      </c>
      <c r="C999" s="58" t="s">
        <v>1595</v>
      </c>
      <c r="D999" s="58" t="s">
        <v>1594</v>
      </c>
      <c r="E999" s="58">
        <v>4</v>
      </c>
      <c r="F999" s="58">
        <v>8008</v>
      </c>
      <c r="G999" s="58">
        <v>32032</v>
      </c>
    </row>
    <row r="1000" spans="1:7" x14ac:dyDescent="0.3">
      <c r="A1000" s="58" t="s">
        <v>1593</v>
      </c>
      <c r="B1000" s="58" t="s">
        <v>1589</v>
      </c>
      <c r="C1000" s="58" t="s">
        <v>1592</v>
      </c>
      <c r="D1000" s="58" t="s">
        <v>1591</v>
      </c>
      <c r="E1000" s="58">
        <v>10</v>
      </c>
      <c r="F1000" s="58">
        <v>23867</v>
      </c>
      <c r="G1000" s="58">
        <v>238670</v>
      </c>
    </row>
    <row r="1001" spans="1:7" x14ac:dyDescent="0.3">
      <c r="A1001" s="58" t="s">
        <v>1590</v>
      </c>
      <c r="B1001" s="58" t="s">
        <v>1589</v>
      </c>
      <c r="C1001" s="58" t="s">
        <v>1588</v>
      </c>
      <c r="D1001" s="58" t="s">
        <v>1587</v>
      </c>
      <c r="E1001" s="58">
        <v>8</v>
      </c>
      <c r="F1001" s="58">
        <v>26072</v>
      </c>
      <c r="G1001" s="58">
        <v>208576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A9840-BB57-4D5B-BC03-2AAA0D555D3C}">
  <dimension ref="A1:D143"/>
  <sheetViews>
    <sheetView tabSelected="1" workbookViewId="0">
      <selection activeCell="G1" sqref="G1"/>
    </sheetView>
  </sheetViews>
  <sheetFormatPr defaultRowHeight="14.4" x14ac:dyDescent="0.3"/>
  <cols>
    <col min="1" max="1" width="2.109375" style="10" customWidth="1"/>
    <col min="2" max="2" width="4.109375" style="20" bestFit="1" customWidth="1"/>
    <col min="3" max="3" width="112.44140625" style="10" customWidth="1"/>
    <col min="4" max="4" width="33.5546875" style="13" customWidth="1"/>
    <col min="5" max="16384" width="8.88671875" style="10"/>
  </cols>
  <sheetData>
    <row r="1" spans="1:4" s="14" customFormat="1" ht="29.4" customHeight="1" x14ac:dyDescent="1.3">
      <c r="A1" s="64"/>
      <c r="B1" s="17" t="s">
        <v>1613</v>
      </c>
      <c r="C1" s="16"/>
      <c r="D1" s="22"/>
    </row>
    <row r="2" spans="1:4" s="14" customFormat="1" ht="22.2" customHeight="1" x14ac:dyDescent="0.3">
      <c r="B2" s="17"/>
      <c r="D2" s="22"/>
    </row>
    <row r="3" spans="1:4" ht="9" customHeight="1" x14ac:dyDescent="0.3"/>
    <row r="4" spans="1:4" s="21" customFormat="1" ht="22.8" customHeight="1" x14ac:dyDescent="0.9">
      <c r="B4" s="76" t="s">
        <v>984</v>
      </c>
      <c r="C4" s="76"/>
      <c r="D4" s="23"/>
    </row>
    <row r="5" spans="1:4" ht="30" customHeight="1" x14ac:dyDescent="0.3">
      <c r="B5" s="70">
        <v>1</v>
      </c>
      <c r="C5" s="88" t="s">
        <v>1612</v>
      </c>
      <c r="D5" s="88"/>
    </row>
    <row r="6" spans="1:4" ht="30" customHeight="1" x14ac:dyDescent="0.3">
      <c r="B6" s="70">
        <v>2</v>
      </c>
      <c r="C6" s="87" t="s">
        <v>1614</v>
      </c>
      <c r="D6" s="87"/>
    </row>
    <row r="7" spans="1:4" ht="30" customHeight="1" x14ac:dyDescent="0.3">
      <c r="B7" s="70">
        <v>3</v>
      </c>
      <c r="C7" s="89" t="s">
        <v>1615</v>
      </c>
      <c r="D7" s="89"/>
    </row>
    <row r="8" spans="1:4" ht="30" customHeight="1" x14ac:dyDescent="0.3">
      <c r="B8" s="70">
        <v>4</v>
      </c>
      <c r="C8" s="87" t="s">
        <v>1616</v>
      </c>
      <c r="D8" s="87"/>
    </row>
    <row r="9" spans="1:4" ht="30" customHeight="1" x14ac:dyDescent="0.3">
      <c r="B9" s="70">
        <v>5</v>
      </c>
      <c r="C9" s="87" t="s">
        <v>1617</v>
      </c>
      <c r="D9" s="87"/>
    </row>
    <row r="10" spans="1:4" ht="30" customHeight="1" x14ac:dyDescent="0.3">
      <c r="B10" s="70">
        <v>6</v>
      </c>
      <c r="C10" s="87" t="s">
        <v>1618</v>
      </c>
      <c r="D10" s="87"/>
    </row>
    <row r="11" spans="1:4" ht="30" customHeight="1" x14ac:dyDescent="0.3">
      <c r="B11" s="70">
        <v>7</v>
      </c>
      <c r="C11" s="87" t="s">
        <v>1619</v>
      </c>
      <c r="D11" s="87"/>
    </row>
    <row r="12" spans="1:4" ht="30" customHeight="1" x14ac:dyDescent="0.3">
      <c r="B12" s="70">
        <v>8</v>
      </c>
      <c r="C12" s="87" t="s">
        <v>1620</v>
      </c>
      <c r="D12" s="87"/>
    </row>
    <row r="13" spans="1:4" ht="25.05" customHeight="1" x14ac:dyDescent="0.85">
      <c r="B13" s="63"/>
      <c r="C13" s="59"/>
      <c r="D13" s="60"/>
    </row>
    <row r="14" spans="1:4" ht="25.05" customHeight="1" x14ac:dyDescent="0.85">
      <c r="B14" s="63"/>
      <c r="C14" s="59"/>
      <c r="D14" s="60"/>
    </row>
    <row r="15" spans="1:4" ht="25.05" customHeight="1" x14ac:dyDescent="0.3">
      <c r="B15" s="63"/>
      <c r="C15" s="66"/>
      <c r="D15" s="60"/>
    </row>
    <row r="16" spans="1:4" ht="25.05" customHeight="1" x14ac:dyDescent="0.3">
      <c r="B16" s="63"/>
      <c r="C16" s="65"/>
      <c r="D16" s="60"/>
    </row>
    <row r="17" spans="2:4" ht="25.05" customHeight="1" x14ac:dyDescent="0.3">
      <c r="B17" s="63"/>
      <c r="C17" s="65"/>
      <c r="D17" s="60"/>
    </row>
    <row r="18" spans="2:4" x14ac:dyDescent="0.3">
      <c r="B18" s="61"/>
      <c r="C18" s="65"/>
      <c r="D18" s="62"/>
    </row>
    <row r="19" spans="2:4" ht="18" x14ac:dyDescent="0.3">
      <c r="C19" s="67"/>
    </row>
    <row r="20" spans="2:4" x14ac:dyDescent="0.3">
      <c r="C20" s="65"/>
    </row>
    <row r="21" spans="2:4" x14ac:dyDescent="0.3">
      <c r="C21" s="68"/>
    </row>
    <row r="22" spans="2:4" x14ac:dyDescent="0.3">
      <c r="C22" s="69"/>
    </row>
    <row r="23" spans="2:4" x14ac:dyDescent="0.3">
      <c r="C23" s="69"/>
    </row>
    <row r="24" spans="2:4" x14ac:dyDescent="0.3">
      <c r="C24" s="65"/>
    </row>
    <row r="25" spans="2:4" x14ac:dyDescent="0.3">
      <c r="C25" s="68"/>
    </row>
    <row r="26" spans="2:4" x14ac:dyDescent="0.3">
      <c r="C26" s="69"/>
    </row>
    <row r="27" spans="2:4" x14ac:dyDescent="0.3">
      <c r="C27" s="69"/>
    </row>
    <row r="28" spans="2:4" x14ac:dyDescent="0.3">
      <c r="C28" s="69"/>
    </row>
    <row r="29" spans="2:4" x14ac:dyDescent="0.3">
      <c r="C29" s="69"/>
    </row>
    <row r="30" spans="2:4" x14ac:dyDescent="0.3">
      <c r="C30" s="65"/>
    </row>
    <row r="31" spans="2:4" x14ac:dyDescent="0.3">
      <c r="C31" s="65"/>
    </row>
    <row r="32" spans="2:4" x14ac:dyDescent="0.3">
      <c r="C32" s="65"/>
    </row>
    <row r="33" spans="3:3" ht="18" x14ac:dyDescent="0.3">
      <c r="C33" s="67"/>
    </row>
    <row r="34" spans="3:3" x14ac:dyDescent="0.3">
      <c r="C34" s="65"/>
    </row>
    <row r="35" spans="3:3" x14ac:dyDescent="0.3">
      <c r="C35" s="68"/>
    </row>
    <row r="36" spans="3:3" x14ac:dyDescent="0.3">
      <c r="C36" s="69"/>
    </row>
    <row r="37" spans="3:3" x14ac:dyDescent="0.3">
      <c r="C37" s="69"/>
    </row>
    <row r="38" spans="3:3" x14ac:dyDescent="0.3">
      <c r="C38" s="65"/>
    </row>
    <row r="39" spans="3:3" x14ac:dyDescent="0.3">
      <c r="C39" s="68"/>
    </row>
    <row r="40" spans="3:3" x14ac:dyDescent="0.3">
      <c r="C40" s="69"/>
    </row>
    <row r="41" spans="3:3" x14ac:dyDescent="0.3">
      <c r="C41" s="69"/>
    </row>
    <row r="42" spans="3:3" x14ac:dyDescent="0.3">
      <c r="C42" s="69"/>
    </row>
    <row r="43" spans="3:3" x14ac:dyDescent="0.3">
      <c r="C43" s="69"/>
    </row>
    <row r="44" spans="3:3" x14ac:dyDescent="0.3">
      <c r="C44" s="65"/>
    </row>
    <row r="45" spans="3:3" x14ac:dyDescent="0.3">
      <c r="C45" s="65"/>
    </row>
    <row r="46" spans="3:3" x14ac:dyDescent="0.3">
      <c r="C46" s="65"/>
    </row>
    <row r="47" spans="3:3" ht="18" x14ac:dyDescent="0.3">
      <c r="C47" s="67"/>
    </row>
    <row r="48" spans="3:3" x14ac:dyDescent="0.3">
      <c r="C48" s="65"/>
    </row>
    <row r="49" spans="3:3" x14ac:dyDescent="0.3">
      <c r="C49" s="68"/>
    </row>
    <row r="50" spans="3:3" x14ac:dyDescent="0.3">
      <c r="C50" s="69"/>
    </row>
    <row r="51" spans="3:3" x14ac:dyDescent="0.3">
      <c r="C51" s="69"/>
    </row>
    <row r="52" spans="3:3" x14ac:dyDescent="0.3">
      <c r="C52" s="65"/>
    </row>
    <row r="53" spans="3:3" x14ac:dyDescent="0.3">
      <c r="C53" s="68"/>
    </row>
    <row r="54" spans="3:3" x14ac:dyDescent="0.3">
      <c r="C54" s="69"/>
    </row>
    <row r="55" spans="3:3" x14ac:dyDescent="0.3">
      <c r="C55" s="69"/>
    </row>
    <row r="56" spans="3:3" x14ac:dyDescent="0.3">
      <c r="C56" s="69"/>
    </row>
    <row r="57" spans="3:3" x14ac:dyDescent="0.3">
      <c r="C57" s="69"/>
    </row>
    <row r="58" spans="3:3" x14ac:dyDescent="0.3">
      <c r="C58" s="69"/>
    </row>
    <row r="59" spans="3:3" x14ac:dyDescent="0.3">
      <c r="C59" s="69"/>
    </row>
    <row r="60" spans="3:3" x14ac:dyDescent="0.3">
      <c r="C60" s="65"/>
    </row>
    <row r="61" spans="3:3" x14ac:dyDescent="0.3">
      <c r="C61" s="65"/>
    </row>
    <row r="62" spans="3:3" x14ac:dyDescent="0.3">
      <c r="C62" s="65"/>
    </row>
    <row r="63" spans="3:3" ht="18" x14ac:dyDescent="0.3">
      <c r="C63" s="67"/>
    </row>
    <row r="64" spans="3:3" x14ac:dyDescent="0.3">
      <c r="C64" s="65"/>
    </row>
    <row r="65" spans="3:3" x14ac:dyDescent="0.3">
      <c r="C65" s="68"/>
    </row>
    <row r="66" spans="3:3" x14ac:dyDescent="0.3">
      <c r="C66" s="69"/>
    </row>
    <row r="67" spans="3:3" x14ac:dyDescent="0.3">
      <c r="C67" s="69"/>
    </row>
    <row r="68" spans="3:3" x14ac:dyDescent="0.3">
      <c r="C68" s="65"/>
    </row>
    <row r="69" spans="3:3" x14ac:dyDescent="0.3">
      <c r="C69" s="68"/>
    </row>
    <row r="70" spans="3:3" x14ac:dyDescent="0.3">
      <c r="C70" s="69"/>
    </row>
    <row r="71" spans="3:3" x14ac:dyDescent="0.3">
      <c r="C71" s="69"/>
    </row>
    <row r="72" spans="3:3" x14ac:dyDescent="0.3">
      <c r="C72" s="69"/>
    </row>
    <row r="73" spans="3:3" x14ac:dyDescent="0.3">
      <c r="C73" s="69"/>
    </row>
    <row r="74" spans="3:3" x14ac:dyDescent="0.3">
      <c r="C74" s="69"/>
    </row>
    <row r="75" spans="3:3" x14ac:dyDescent="0.3">
      <c r="C75" s="69"/>
    </row>
    <row r="76" spans="3:3" x14ac:dyDescent="0.3">
      <c r="C76" s="65"/>
    </row>
    <row r="77" spans="3:3" x14ac:dyDescent="0.3">
      <c r="C77" s="65"/>
    </row>
    <row r="78" spans="3:3" x14ac:dyDescent="0.3">
      <c r="C78" s="65"/>
    </row>
    <row r="79" spans="3:3" ht="18" x14ac:dyDescent="0.3">
      <c r="C79" s="67"/>
    </row>
    <row r="80" spans="3:3" x14ac:dyDescent="0.3">
      <c r="C80" s="65"/>
    </row>
    <row r="81" spans="3:3" x14ac:dyDescent="0.3">
      <c r="C81" s="68"/>
    </row>
    <row r="82" spans="3:3" x14ac:dyDescent="0.3">
      <c r="C82" s="69"/>
    </row>
    <row r="83" spans="3:3" x14ac:dyDescent="0.3">
      <c r="C83" s="69"/>
    </row>
    <row r="84" spans="3:3" x14ac:dyDescent="0.3">
      <c r="C84" s="65"/>
    </row>
    <row r="85" spans="3:3" x14ac:dyDescent="0.3">
      <c r="C85" s="68"/>
    </row>
    <row r="86" spans="3:3" x14ac:dyDescent="0.3">
      <c r="C86" s="69"/>
    </row>
    <row r="87" spans="3:3" x14ac:dyDescent="0.3">
      <c r="C87" s="69"/>
    </row>
    <row r="88" spans="3:3" x14ac:dyDescent="0.3">
      <c r="C88" s="69"/>
    </row>
    <row r="89" spans="3:3" x14ac:dyDescent="0.3">
      <c r="C89" s="69"/>
    </row>
    <row r="90" spans="3:3" x14ac:dyDescent="0.3">
      <c r="C90" s="69"/>
    </row>
    <row r="91" spans="3:3" x14ac:dyDescent="0.3">
      <c r="C91" s="69"/>
    </row>
    <row r="92" spans="3:3" x14ac:dyDescent="0.3">
      <c r="C92" s="65"/>
    </row>
    <row r="93" spans="3:3" x14ac:dyDescent="0.3">
      <c r="C93" s="65"/>
    </row>
    <row r="94" spans="3:3" x14ac:dyDescent="0.3">
      <c r="C94" s="65"/>
    </row>
    <row r="95" spans="3:3" ht="18" x14ac:dyDescent="0.3">
      <c r="C95" s="67"/>
    </row>
    <row r="96" spans="3:3" x14ac:dyDescent="0.3">
      <c r="C96" s="65"/>
    </row>
    <row r="97" spans="3:3" x14ac:dyDescent="0.3">
      <c r="C97" s="68"/>
    </row>
    <row r="98" spans="3:3" x14ac:dyDescent="0.3">
      <c r="C98" s="69"/>
    </row>
    <row r="99" spans="3:3" x14ac:dyDescent="0.3">
      <c r="C99" s="69"/>
    </row>
    <row r="100" spans="3:3" x14ac:dyDescent="0.3">
      <c r="C100" s="65"/>
    </row>
    <row r="101" spans="3:3" x14ac:dyDescent="0.3">
      <c r="C101" s="68"/>
    </row>
    <row r="102" spans="3:3" x14ac:dyDescent="0.3">
      <c r="C102" s="69"/>
    </row>
    <row r="103" spans="3:3" x14ac:dyDescent="0.3">
      <c r="C103" s="69"/>
    </row>
    <row r="104" spans="3:3" x14ac:dyDescent="0.3">
      <c r="C104" s="69"/>
    </row>
    <row r="105" spans="3:3" x14ac:dyDescent="0.3">
      <c r="C105" s="69"/>
    </row>
    <row r="106" spans="3:3" x14ac:dyDescent="0.3">
      <c r="C106" s="69"/>
    </row>
    <row r="107" spans="3:3" x14ac:dyDescent="0.3">
      <c r="C107" s="69"/>
    </row>
    <row r="108" spans="3:3" x14ac:dyDescent="0.3">
      <c r="C108" s="65"/>
    </row>
    <row r="109" spans="3:3" x14ac:dyDescent="0.3">
      <c r="C109" s="65"/>
    </row>
    <row r="110" spans="3:3" x14ac:dyDescent="0.3">
      <c r="C110" s="65"/>
    </row>
    <row r="111" spans="3:3" ht="18" x14ac:dyDescent="0.3">
      <c r="C111" s="67"/>
    </row>
    <row r="112" spans="3:3" x14ac:dyDescent="0.3">
      <c r="C112" s="65"/>
    </row>
    <row r="113" spans="3:3" x14ac:dyDescent="0.3">
      <c r="C113" s="68"/>
    </row>
    <row r="114" spans="3:3" x14ac:dyDescent="0.3">
      <c r="C114" s="69"/>
    </row>
    <row r="115" spans="3:3" x14ac:dyDescent="0.3">
      <c r="C115" s="69"/>
    </row>
    <row r="116" spans="3:3" x14ac:dyDescent="0.3">
      <c r="C116" s="65"/>
    </row>
    <row r="117" spans="3:3" x14ac:dyDescent="0.3">
      <c r="C117" s="68"/>
    </row>
    <row r="118" spans="3:3" x14ac:dyDescent="0.3">
      <c r="C118" s="69"/>
    </row>
    <row r="119" spans="3:3" x14ac:dyDescent="0.3">
      <c r="C119" s="69"/>
    </row>
    <row r="120" spans="3:3" x14ac:dyDescent="0.3">
      <c r="C120" s="69"/>
    </row>
    <row r="121" spans="3:3" x14ac:dyDescent="0.3">
      <c r="C121" s="69"/>
    </row>
    <row r="122" spans="3:3" x14ac:dyDescent="0.3">
      <c r="C122" s="69"/>
    </row>
    <row r="123" spans="3:3" x14ac:dyDescent="0.3">
      <c r="C123" s="69"/>
    </row>
    <row r="124" spans="3:3" x14ac:dyDescent="0.3">
      <c r="C124" s="65"/>
    </row>
    <row r="125" spans="3:3" x14ac:dyDescent="0.3">
      <c r="C125" s="65"/>
    </row>
    <row r="126" spans="3:3" x14ac:dyDescent="0.3">
      <c r="C126" s="65"/>
    </row>
    <row r="127" spans="3:3" ht="18" x14ac:dyDescent="0.3">
      <c r="C127" s="67"/>
    </row>
    <row r="128" spans="3:3" x14ac:dyDescent="0.3">
      <c r="C128" s="65"/>
    </row>
    <row r="129" spans="3:3" x14ac:dyDescent="0.3">
      <c r="C129" s="68"/>
    </row>
    <row r="130" spans="3:3" x14ac:dyDescent="0.3">
      <c r="C130" s="69"/>
    </row>
    <row r="131" spans="3:3" x14ac:dyDescent="0.3">
      <c r="C131" s="69"/>
    </row>
    <row r="132" spans="3:3" x14ac:dyDescent="0.3">
      <c r="C132" s="65"/>
    </row>
    <row r="133" spans="3:3" x14ac:dyDescent="0.3">
      <c r="C133" s="68"/>
    </row>
    <row r="134" spans="3:3" x14ac:dyDescent="0.3">
      <c r="C134" s="69"/>
    </row>
    <row r="135" spans="3:3" x14ac:dyDescent="0.3">
      <c r="C135" s="69"/>
    </row>
    <row r="136" spans="3:3" x14ac:dyDescent="0.3">
      <c r="C136" s="69"/>
    </row>
    <row r="137" spans="3:3" x14ac:dyDescent="0.3">
      <c r="C137" s="69"/>
    </row>
    <row r="138" spans="3:3" x14ac:dyDescent="0.3">
      <c r="C138" s="69"/>
    </row>
    <row r="139" spans="3:3" x14ac:dyDescent="0.3">
      <c r="C139" s="69"/>
    </row>
    <row r="140" spans="3:3" x14ac:dyDescent="0.3">
      <c r="C140" s="65"/>
    </row>
    <row r="141" spans="3:3" x14ac:dyDescent="0.3">
      <c r="C141" s="65"/>
    </row>
    <row r="142" spans="3:3" x14ac:dyDescent="0.3">
      <c r="C142" s="65"/>
    </row>
    <row r="143" spans="3:3" x14ac:dyDescent="0.3">
      <c r="C143" s="65"/>
    </row>
  </sheetData>
  <mergeCells count="9">
    <mergeCell ref="C9:D9"/>
    <mergeCell ref="C10:D10"/>
    <mergeCell ref="C11:D11"/>
    <mergeCell ref="C12:D12"/>
    <mergeCell ref="B4:C4"/>
    <mergeCell ref="C5:D5"/>
    <mergeCell ref="C6:D6"/>
    <mergeCell ref="C7:D7"/>
    <mergeCell ref="C8:D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7B6291-D10F-45AA-9CEE-CDB7D1FDFD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</vt:lpstr>
      <vt:lpstr>Queries</vt:lpstr>
      <vt:lpstr>Emp</vt:lpstr>
      <vt:lpstr>Data</vt:lpstr>
      <vt:lpstr>Report</vt:lpstr>
      <vt:lpstr>LookUp</vt:lpstr>
      <vt:lpstr>Sales Table</vt:lpstr>
      <vt:lpstr>SalesQueries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Suzal Chouhan</dc:creator>
  <cp:lastModifiedBy>Suzal Chouhan</cp:lastModifiedBy>
  <dcterms:created xsi:type="dcterms:W3CDTF">2025-06-19T16:06:56Z</dcterms:created>
  <dcterms:modified xsi:type="dcterms:W3CDTF">2025-07-05T17:57:13Z</dcterms:modified>
</cp:coreProperties>
</file>